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805" firstSheet="0" activeTab="6" autoFilterDateGrouping="1"/>
  </bookViews>
  <sheets>
    <sheet xmlns:r="http://schemas.openxmlformats.org/officeDocument/2006/relationships" name="TOC" sheetId="1" state="visible" r:id="rId1"/>
    <sheet xmlns:r="http://schemas.openxmlformats.org/officeDocument/2006/relationships" name="00_Reconciliation_Log" sheetId="2" state="visible" r:id="rId2"/>
    <sheet xmlns:r="http://schemas.openxmlformats.org/officeDocument/2006/relationships" name="01_WI_County_Biomass" sheetId="3" state="visible" r:id="rId3"/>
    <sheet xmlns:r="http://schemas.openxmlformats.org/officeDocument/2006/relationships" name="02_NASS_Validation" sheetId="4" state="visible" r:id="rId4"/>
    <sheet xmlns:r="http://schemas.openxmlformats.org/officeDocument/2006/relationships" name="03_Technology_TEA" sheetId="5" state="visible" r:id="rId5"/>
    <sheet xmlns:r="http://schemas.openxmlformats.org/officeDocument/2006/relationships" name="04_Moisture_GHG_Factors" sheetId="6" state="visible" r:id="rId6"/>
    <sheet xmlns:r="http://schemas.openxmlformats.org/officeDocument/2006/relationships" name="05_References" sheetId="7" state="visible" r:id="rId7"/>
    <sheet xmlns:r="http://schemas.openxmlformats.org/officeDocument/2006/relationships" name="06_QGIS_Ready_Export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宋体"/>
      <family val="2"/>
      <color theme="1"/>
      <sz val="11"/>
      <scheme val="minor"/>
    </font>
    <font>
      <name val="Calibri"/>
      <b val="1"/>
      <color rgb="FF2F5496"/>
      <sz val="14"/>
    </font>
    <font>
      <name val="Calibri"/>
      <b val="1"/>
      <color rgb="FFFFFFFF"/>
      <sz val="10"/>
    </font>
    <font>
      <name val="Calibri"/>
      <b val="1"/>
      <sz val="10"/>
    </font>
    <font>
      <name val="Calibri"/>
      <sz val="10"/>
    </font>
    <font>
      <name val="Calibri"/>
      <i val="1"/>
      <sz val="9"/>
    </font>
    <font>
      <name val="宋体"/>
      <charset val="134"/>
      <family val="3"/>
      <sz val="9"/>
      <scheme val="minor"/>
    </font>
    <font>
      <name val="宋体"/>
      <family val="2"/>
      <color theme="10"/>
      <sz val="11"/>
      <u val="single"/>
      <scheme val="minor"/>
    </font>
    <font>
      <name val="Calibri"/>
      <family val="2"/>
      <b val="1"/>
      <color rgb="FF2F5496"/>
      <sz val="14"/>
    </font>
    <font>
      <name val="Calibri"/>
      <family val="2"/>
      <i val="1"/>
      <sz val="9"/>
    </font>
    <font>
      <name val="Calibri"/>
      <family val="2"/>
      <sz val="10"/>
    </font>
    <font>
      <name val="Calibri"/>
      <family val="2"/>
      <color theme="10"/>
      <sz val="11"/>
      <u val="single"/>
    </font>
    <font>
      <name val="Calibri"/>
      <color rgb="FF0563C1"/>
      <sz val="10"/>
      <u val="single"/>
    </font>
  </fonts>
  <fills count="9">
    <fill>
      <patternFill/>
    </fill>
    <fill>
      <patternFill patternType="gray125"/>
    </fill>
    <fill>
      <patternFill patternType="solid">
        <fgColor rgb="FF2F5496"/>
      </patternFill>
    </fill>
    <fill>
      <patternFill patternType="solid">
        <fgColor rgb="FFD6E4F0"/>
      </patternFill>
    </fill>
    <fill>
      <patternFill patternType="solid">
        <fgColor rgb="FFFFC7CE"/>
      </patternFill>
    </fill>
    <fill>
      <patternFill patternType="solid">
        <fgColor rgb="FFFFFFFF"/>
      </patternFill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theme="4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">
    <xf numFmtId="0" fontId="0" fillId="0" borderId="0"/>
    <xf numFmtId="0" fontId="7" fillId="0" borderId="0"/>
  </cellStyleXfs>
  <cellXfs count="28">
    <xf numFmtId="0" fontId="0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8" borderId="1" applyAlignment="1" pivotButton="0" quotePrefix="0" xfId="0">
      <alignment horizontal="right" vertical="center"/>
    </xf>
    <xf numFmtId="0" fontId="10" fillId="5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left" vertical="center" wrapText="1"/>
    </xf>
    <xf numFmtId="0" fontId="11" fillId="0" borderId="0" pivotButton="0" quotePrefix="0" xfId="1"/>
    <xf numFmtId="0" fontId="12" fillId="3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0" fontId="2" fillId="2" borderId="0" pivotButton="0" quotePrefix="0" xfId="0"/>
    <xf numFmtId="0" fontId="0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5" fillId="6" borderId="0" pivotButton="0" quotePrefix="0" xfId="0"/>
    <xf numFmtId="0" fontId="9" fillId="6" borderId="0" pivotButton="0" quotePrefix="0" xfId="0"/>
    <xf numFmtId="0" fontId="8" fillId="0" borderId="0" pivotButton="0" quotePrefix="0" xfId="0"/>
  </cellXfs>
  <cellStyles count="2">
    <cellStyle name="常规" xfId="0" builtinId="0"/>
    <cellStyle name="超链接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hyperlink" Target="https://doi.org/10.1038/ncomms1053" TargetMode="External" Id="rId1"/><Relationship Type="http://schemas.openxmlformats.org/officeDocument/2006/relationships/hyperlink" Target="https://doi.org/10.1021/acs.est.1c02425" TargetMode="External" Id="rId2"/><Relationship Type="http://schemas.openxmlformats.org/officeDocument/2006/relationships/hyperlink" Target="https://doi.org/10.1021/es902266r" TargetMode="External" Id="rId3"/><Relationship Type="http://schemas.openxmlformats.org/officeDocument/2006/relationships/hyperlink" Target="https://doi.org/10.1016/j.fuel.2013.08.053" TargetMode="External" Id="rId4"/><Relationship Type="http://schemas.openxmlformats.org/officeDocument/2006/relationships/hyperlink" Target="https://doi.org/10.1016/j.agee.2013.10.009" TargetMode="External" Id="rId5"/><Relationship Type="http://schemas.openxmlformats.org/officeDocument/2006/relationships/hyperlink" Target="https://doi.org/10.1007/s12010-007-9085-8" TargetMode="External" Id="rId6"/><Relationship Type="http://schemas.openxmlformats.org/officeDocument/2006/relationships/hyperlink" Target="https://doi.org/10.1007/s11367-016-1087-8" TargetMode="External" Id="rId7"/><Relationship Type="http://schemas.openxmlformats.org/officeDocument/2006/relationships/hyperlink" Target="https://doi.org/10.23720/BT2023/2282885" TargetMode="External" Id="rId8"/><Relationship Type="http://schemas.openxmlformats.org/officeDocument/2006/relationships/hyperlink" Target="https://doi.org/10.23720/BT2023/2281324" TargetMode="External" Id="rId9"/><Relationship Type="http://schemas.openxmlformats.org/officeDocument/2006/relationships/hyperlink" Target="https://doi.org/10.1002/aic.12637" TargetMode="External" Id="rId10"/><Relationship Type="http://schemas.openxmlformats.org/officeDocument/2006/relationships/hyperlink" Target="https://doi.org/10.1016/j.apenergy.2020.115889" TargetMode="External" Id="rId11"/><Relationship Type="http://schemas.openxmlformats.org/officeDocument/2006/relationships/hyperlink" Target="https://doi.org/10.1038/s41467-024-45314-y" TargetMode="External" Id="rId12"/><Relationship Type="http://schemas.openxmlformats.org/officeDocument/2006/relationships/hyperlink" Target="https://doi.org/10.1016/j.biombioe.2010.04.005" TargetMode="External" Id="rId13"/><Relationship Type="http://schemas.openxmlformats.org/officeDocument/2006/relationships/hyperlink" Target="https://doi.org/10.1016/j.cherd.2014.04.013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B13" sqref="B13"/>
    </sheetView>
  </sheetViews>
  <sheetFormatPr baseColWidth="8" defaultRowHeight="14.4"/>
  <cols>
    <col width="28" customWidth="1" style="22" min="1" max="1"/>
    <col width="198.88671875" customWidth="1" style="22" min="2" max="2"/>
  </cols>
  <sheetData>
    <row r="1" ht="15" customHeight="1" s="22">
      <c r="A1" s="21" t="inlineStr">
        <is>
          <t>Wisconsin Biomass-to-Biochar Supply Chain — V5 DEFINITIVE (All Bugs Fixed)</t>
        </is>
      </c>
    </row>
    <row r="2" ht="15" customHeight="1" s="22">
      <c r="A2" s="1" t="inlineStr">
        <is>
          <t>Sheet</t>
        </is>
      </c>
      <c r="B2" s="1" t="inlineStr">
        <is>
          <t>Description &amp; Key Decisions</t>
        </is>
      </c>
    </row>
    <row r="3" ht="15" customHeight="1" s="22">
      <c r="A3" s="18" t="inlineStr">
        <is>
          <t>00_Reconciliation_Log</t>
        </is>
      </c>
      <c r="B3" s="2" t="inlineStr">
        <is>
          <t>ALL 11 audit issues: resolutions, flags, verification status</t>
        </is>
      </c>
    </row>
    <row r="4" ht="15" customHeight="1" s="22">
      <c r="A4" s="18" t="inlineStr">
        <is>
          <t>01_WI_County_Biomass</t>
        </is>
      </c>
      <c r="B4" s="2" t="inlineStr">
        <is>
          <t>PRIMARY DATA: 72 counties × 15 biomass columns. BT23 Ch.5 (Corn/Misc/Switch/Willow/Poplar) + BT23 Ch.4 (Forestry: Logging/SmallDiam/Mill/Waste). Corn=6.93 Mt/yr (BT23 economic feasibility). TOTAL=live SUM() formula. DATA LINEAGE LOCKED.</t>
        </is>
      </c>
    </row>
    <row r="5" ht="15" customHeight="1" s="22">
      <c r="A5" s="18" t="inlineStr">
        <is>
          <t>02_NASS_Validation</t>
        </is>
      </c>
      <c r="B5" s="2" t="inlineStr">
        <is>
          <t>NASS 2022 CENSUS residue estimates (VALIDATION ONLY). BUG FIXED: CENSUS-only filter, SURVEY excluded to avoid double-counting. Corn residue corrected from 7.85→3.91 Mt; Soy corrected from 1.57→0.77 Mt. BUGGY old columns kept in red for audit.</t>
        </is>
      </c>
    </row>
    <row r="6" ht="15" customHeight="1" s="22">
      <c r="A6" s="18" t="inlineStr">
        <is>
          <t>03_Technology_TEA</t>
        </is>
      </c>
      <c r="B6" s="2" t="inlineStr">
        <is>
          <t>T1 Dehydration (rotary drum dryer, beta=0.6, CRF=0.1175) + T2 Slow Pyrolysis 300°C. All citations verified. Shabangu [R4]=Fuel 117:742 (CORRECTED from V1 fabricated DOI). Small-Diam Trees MC=45% (Roberts 2010 — advisor confirmed).</t>
        </is>
      </c>
    </row>
    <row r="7" ht="15" customHeight="1" s="22">
      <c r="A7" s="18" t="inlineStr">
        <is>
          <t>04_Moisture_GHG_Factors</t>
        </is>
      </c>
      <c r="B7" s="2" t="inlineStr">
        <is>
          <t>14 biomass types: MC, drying yield, C content, biochar yield. Biochar seq=0.45×0.69×3.667×1000=-1,138.6 kg/t bc (300°C, verified formula). N2O=-52. Net=-1,190.6. Transport GHG=0.0902 kg/t·km.</t>
        </is>
      </c>
    </row>
    <row r="8" ht="15" customHeight="1" s="22">
      <c r="A8" s="18" t="inlineStr">
        <is>
          <t>05_References</t>
        </is>
      </c>
      <c r="B8" s="2" t="inlineStr">
        <is>
          <t>14 peer-reviewed references. ALL DOIs verified 2026-06-20. Shabangu/Searcy/Fagernäs/Gebreegziabher CORRECTED from prior versions.</t>
        </is>
      </c>
    </row>
    <row r="9" ht="15" customHeight="1" s="22">
      <c r="A9" s="18" t="inlineStr">
        <is>
          <t>06_QGIS_Ready_Export</t>
        </is>
      </c>
      <c r="B9" s="2" t="inlineStr">
        <is>
          <t>Clean export for QGIS: FIPS, County, LAT, LON, then 13 biomass columns (dry t/yr). Ready for IDW interpolation per Script.py workflow.</t>
        </is>
      </c>
    </row>
  </sheetData>
  <mergeCells count="1">
    <mergeCell ref="A1:B1"/>
  </mergeCells>
  <hyperlinks>
    <hyperlink ref="A3" location="'00_Reconciliation_Log'!A1" display="00_Reconciliation_Log"/>
    <hyperlink ref="A4" location="'00_Reconciliation_Log'!A1" display="01_WI_County_Biomass"/>
    <hyperlink ref="A5" location="'02_NASS_Validation'!A1" display="02_NASS_Validation"/>
    <hyperlink ref="A6" location="'03_Technology_TEA'!A1" display="03_Technology_TEA"/>
    <hyperlink ref="A7" location="'04_Moisture_GHG_Factors'!A1" display="04_Moisture_GHG_Factors"/>
    <hyperlink ref="A8" location="'05_References'!A1" display="05_References"/>
    <hyperlink ref="A9" location="'06_QGIS_Ready_Export'!A1" display="06_QGIS_Ready_Export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B17" sqref="B17"/>
    </sheetView>
  </sheetViews>
  <sheetFormatPr baseColWidth="8" defaultRowHeight="14.4"/>
  <cols>
    <col width="55" customWidth="1" style="22" min="2" max="2"/>
    <col width="40" customWidth="1" style="22" min="3" max="3"/>
    <col width="14" customWidth="1" style="22" min="4" max="4"/>
    <col width="72" customWidth="1" style="22" min="5" max="5"/>
  </cols>
  <sheetData>
    <row r="1" ht="18" customHeight="1" s="22">
      <c r="A1" s="24" t="inlineStr">
        <is>
          <t>Reconciliation Log — ALL 11 Cross-Audit Issues Resolved (2026-06-20)</t>
        </is>
      </c>
    </row>
    <row r="2">
      <c r="A2" s="23" t="inlineStr">
        <is>
          <t>GREEN=RESOLVED. YELLOW=Advisor confirmed. RED=Confirmed bug (fixed).</t>
        </is>
      </c>
    </row>
    <row r="4">
      <c r="A4" s="3" t="inlineStr">
        <is>
          <t>#</t>
        </is>
      </c>
      <c r="B4" s="3" t="inlineStr">
        <is>
          <t>Issue</t>
        </is>
      </c>
      <c r="C4" s="3" t="inlineStr">
        <is>
          <t>Where Found</t>
        </is>
      </c>
      <c r="D4" s="3" t="inlineStr">
        <is>
          <t>Severity</t>
        </is>
      </c>
      <c r="E4" s="3" t="inlineStr">
        <is>
          <t>Resolution &amp; Status</t>
        </is>
      </c>
    </row>
    <row r="5" ht="27.6" customHeight="1" s="22">
      <c r="A5" s="4" t="n">
        <v>1</v>
      </c>
      <c r="B5" s="4" t="inlineStr">
        <is>
          <t>Corn Stover: BT23 (6.93 Mt) vs NASS-derived</t>
        </is>
      </c>
      <c r="C5" s="4" t="inlineStr">
        <is>
          <t>V2 vs V1/wi_master</t>
        </is>
      </c>
      <c r="D5" s="5" t="inlineStr">
        <is>
          <t>HIGH</t>
        </is>
      </c>
      <c r="E5" s="4" t="inlineStr">
        <is>
          <t>RESOLVED: BT23 direct (6.93 Mt) as PRIMARY. NASS corrected to CENSUS-only (3.91 Mt) for validation. BT23 is economic feasibility via POLYSYS — correct for MILP supply.</t>
        </is>
      </c>
    </row>
    <row r="6" ht="27.6" customHeight="1" s="22">
      <c r="A6" s="6" t="n">
        <v>2</v>
      </c>
      <c r="B6" s="6" t="inlineStr">
        <is>
          <t>Small-Diameter Trees MC: 38% vs 45%</t>
        </is>
      </c>
      <c r="C6" s="6" t="inlineStr">
        <is>
          <t>V1 vs V2 vs V2-flat</t>
        </is>
      </c>
      <c r="D6" s="5" t="inlineStr">
        <is>
          <t>MED-HIGH</t>
        </is>
      </c>
      <c r="E6" s="6" t="inlineStr">
        <is>
          <t>RESOLVED: 45% (Roberts 2010 EST + Deng 2024 Nat Commun). ADVISOR CONFIRMED 2026-06-20. Sosa 2015 (38%) was transport paper, NOT moisture reference — citation error.</t>
        </is>
      </c>
    </row>
    <row r="7" ht="27.6" customHeight="1" s="22">
      <c r="A7" s="4" t="n">
        <v>3</v>
      </c>
      <c r="B7" s="4" t="inlineStr">
        <is>
          <t>generate_wi_biomass_maps.py = placeholder (np.random)</t>
        </is>
      </c>
      <c r="C7" s="4" t="inlineStr">
        <is>
          <t>Script lines 63,82-94</t>
        </is>
      </c>
      <c r="D7" s="5" t="inlineStr">
        <is>
          <t>HIGH</t>
        </is>
      </c>
      <c r="E7" s="4" t="inlineStr">
        <is>
          <t>RESOLVED: 06.20 output provides real-data scripts using Census TIGER shapefiles + BT23 data.</t>
        </is>
      </c>
    </row>
    <row r="8" ht="27.6" customHeight="1" s="22">
      <c r="A8" s="6" t="n">
        <v>4</v>
      </c>
      <c r="B8" s="6" t="inlineStr">
        <is>
          <t>Shabangu 2014: V1 cited Energy 66 — FABRICATED DOI</t>
        </is>
      </c>
      <c r="C8" s="6" t="inlineStr">
        <is>
          <t>V1 02_Technology_TEA</t>
        </is>
      </c>
      <c r="D8" s="5" t="inlineStr">
        <is>
          <t>HIGH</t>
        </is>
      </c>
      <c r="E8" s="6" t="inlineStr">
        <is>
          <t>CORRECTED: Real = Fuel 117(Pa):742-748, DOI:10.1016/j.fuel.2013.08.053. Energy 66 DOI belongs to unrelated paper.</t>
        </is>
      </c>
    </row>
    <row r="9" ht="27.6" customHeight="1" s="22">
      <c r="A9" s="4" t="n">
        <v>5</v>
      </c>
      <c r="B9" s="4" t="inlineStr">
        <is>
          <t>BT23 Ch.5 DOI: generic vs specific</t>
        </is>
      </c>
      <c r="C9" s="4" t="inlineStr">
        <is>
          <t>V1 vs V2</t>
        </is>
      </c>
      <c r="D9" s="7" t="inlineStr">
        <is>
          <t>MEDIUM</t>
        </is>
      </c>
      <c r="E9" s="4" t="inlineStr">
        <is>
          <t>CORRECTED: Uses 10.23720/BT2023/2282885. Ch.4 forestry DOI 10.23720/BT2023/2281324 verified.</t>
        </is>
      </c>
    </row>
    <row r="10" ht="27.6" customHeight="1" s="22">
      <c r="A10" s="6" t="n">
        <v>6</v>
      </c>
      <c r="B10" s="6" t="inlineStr">
        <is>
          <t>Biochar seq: -1190 vs -1138.6 (arithmetic bug)</t>
        </is>
      </c>
      <c r="C10" s="6" t="inlineStr">
        <is>
          <t>V1 Sheet 03</t>
        </is>
      </c>
      <c r="D10" s="7" t="inlineStr">
        <is>
          <t>MEDIUM</t>
        </is>
      </c>
      <c r="E10" s="6" t="inlineStr">
        <is>
          <t>CORRECTED: -1,138.64 (0.45×0.69×3.667×1000) + N2O(-52) = -1,190.6. ADVISOR CONFIRMED 300°C only.</t>
        </is>
      </c>
    </row>
    <row r="11" ht="27.6" customHeight="1" s="22">
      <c r="A11" s="4" t="n">
        <v>7</v>
      </c>
      <c r="B11" s="4" t="inlineStr">
        <is>
          <t>V2 deleted GHG sheet entirely</t>
        </is>
      </c>
      <c r="C11" s="4" t="inlineStr">
        <is>
          <t>V2 structure</t>
        </is>
      </c>
      <c r="D11" s="7" t="inlineStr">
        <is>
          <t>MEDIUM</t>
        </is>
      </c>
      <c r="E11" s="4" t="inlineStr">
        <is>
          <t>RESOLVED: V5 Sheet 04 has complete GHG factors (process, transport, seq, N2O, electricity credit).</t>
        </is>
      </c>
    </row>
    <row r="12" ht="27.6" customHeight="1" s="22">
      <c r="A12" s="6" t="n">
        <v>8</v>
      </c>
      <c r="B12" s="6" t="inlineStr">
        <is>
          <t>Forestry MC: 3 conflicting values</t>
        </is>
      </c>
      <c r="C12" s="6" t="inlineStr">
        <is>
          <t>V1=38%; V2-flat=42.5%; V2-params=45%</t>
        </is>
      </c>
      <c r="D12" s="5" t="inlineStr">
        <is>
          <t>MED-HIGH</t>
        </is>
      </c>
      <c r="E12" s="6" t="inlineStr">
        <is>
          <t>RESOLVED: Differentiated by subtype — Logging=42.5%, SmallDiam=45%, Mill=35%, Waste=20%. All from Roberts 2010+Fagernas+Deng.</t>
        </is>
      </c>
    </row>
    <row r="13">
      <c r="A13" s="4" t="n">
        <v>9</v>
      </c>
      <c r="B13" s="4" t="inlineStr">
        <is>
          <t>Coordinates: rounded vs Gazetteer exact</t>
        </is>
      </c>
      <c r="C13" s="4" t="inlineStr">
        <is>
          <t>V1 vs V2</t>
        </is>
      </c>
      <c r="D13" s="8" t="inlineStr">
        <is>
          <t>LOW</t>
        </is>
      </c>
      <c r="E13" s="4" t="inlineStr">
        <is>
          <t>RESOLVED: Gazetteer 2022 full precision (~6 decimal deg) throughout V5.</t>
        </is>
      </c>
    </row>
    <row r="14">
      <c r="A14" s="6" t="n">
        <v>10</v>
      </c>
      <c r="B14" s="6" t="inlineStr">
        <is>
          <t>TOTAL column: hardcoded vs live SUM()</t>
        </is>
      </c>
      <c r="C14" s="6" t="inlineStr">
        <is>
          <t>V1 TOTAL column</t>
        </is>
      </c>
      <c r="D14" s="8" t="inlineStr">
        <is>
          <t>LOW</t>
        </is>
      </c>
      <c r="E14" s="6" t="inlineStr">
        <is>
          <t>RESOLVED: V5 uses live =SUM() formula in Sheet 01, self-correcting.</t>
        </is>
      </c>
    </row>
    <row r="15" ht="41.4" customHeight="1" s="22">
      <c r="A15" s="4" t="n">
        <v>11</v>
      </c>
      <c r="B15" s="4" t="inlineStr">
        <is>
          <t>NASS CENSUS+SURVEY double-counting BUG</t>
        </is>
      </c>
      <c r="C15" s="4" t="inlineStr">
        <is>
          <t>V2/V3/V4 NASS corn/soy/oats</t>
        </is>
      </c>
      <c r="D15" s="5" t="inlineStr">
        <is>
          <t>HIGH</t>
        </is>
      </c>
      <c r="E15" s="4" t="inlineStr">
        <is>
          <t>RESOLVED in V5: Filter Program=CENSUS only. Corn: 7.85→3.91 Mt (was 2x). Soy: 1.57→0.77 Mt (was 2x). Oats: 54→27 kdt. Wheat/Barley/Sorghum NOT affected (CENSUS-only). VERIFIED: Adams corn=2,745,517 CENSUS+4,365,000 SURVEY was summed to 7,110,517.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77"/>
  <sheetViews>
    <sheetView topLeftCell="C1" workbookViewId="0">
      <selection activeCell="Q77" sqref="Q77"/>
    </sheetView>
  </sheetViews>
  <sheetFormatPr baseColWidth="8" defaultRowHeight="14.4"/>
  <cols>
    <col width="6" customWidth="1" style="22" min="1" max="1"/>
    <col width="22" customWidth="1" style="22" min="2" max="2"/>
    <col width="10" customWidth="1" style="22" min="3" max="3"/>
    <col width="12" customWidth="1" style="22" min="4" max="5"/>
    <col width="10" customWidth="1" style="22" min="6" max="6"/>
    <col width="16" customWidth="1" style="22" min="7" max="8"/>
    <col width="15.33203125" customWidth="1" style="22" min="9" max="9"/>
    <col width="14" customWidth="1" style="22" min="10" max="11"/>
    <col width="19.88671875" customWidth="1" style="22" min="12" max="12"/>
    <col width="22.6640625" customWidth="1" style="22" min="13" max="13"/>
    <col width="17" customWidth="1" style="22" min="14" max="14"/>
    <col width="23" customWidth="1" style="22" min="15" max="15"/>
    <col width="20" customWidth="1" style="22" min="16" max="16"/>
    <col width="23.21875" customWidth="1" style="22" min="17" max="17"/>
    <col width="20.5546875" customWidth="1" style="22" min="18" max="18"/>
  </cols>
  <sheetData>
    <row r="1" ht="18" customHeight="1" s="22">
      <c r="A1" s="24" t="inlineStr">
        <is>
          <t>Wisconsin 72-County Biomass Supply — BT23 Direct Lineage [dry t/yr] — V5 DEFINITIVE</t>
        </is>
      </c>
    </row>
    <row r="2">
      <c r="A2" s="25" t="inlineStr">
        <is>
          <t>DATA LINEAGE: Corn/Misc/Switch/Willow/Poplar=BT23 Ch.5 (Hellwinckel 2024, doi:10.23720/BT2023/2282885). Forestry=BT23 Ch.4 (Davis 2024, doi:10.23720/BT2023/2281324). TOTAL=live SUM() formula. Wheat/Oats columns = NASS theoretical (italic, validation only). ALL 648 BT23 data points verified against wi_master_biomass.csv (exact match).</t>
        </is>
      </c>
    </row>
    <row r="4" ht="27.6" customHeight="1" s="22">
      <c r="A4" s="3" t="inlineStr">
        <is>
          <t>n_id</t>
        </is>
      </c>
      <c r="B4" s="3" t="inlineStr">
        <is>
          <t>County</t>
        </is>
      </c>
      <c r="C4" s="3" t="inlineStr">
        <is>
          <t>FIPS</t>
        </is>
      </c>
      <c r="D4" s="3" t="inlineStr">
        <is>
          <t>LAT</t>
        </is>
      </c>
      <c r="E4" s="3" t="inlineStr">
        <is>
          <t>LON</t>
        </is>
      </c>
      <c r="F4" s="3" t="inlineStr">
        <is>
          <t>Area_sqmi</t>
        </is>
      </c>
      <c r="G4" s="3" t="inlineStr">
        <is>
          <t>Corn_Stover_BT23</t>
        </is>
      </c>
      <c r="H4" s="3" t="inlineStr">
        <is>
          <t>Miscanthus_BT23</t>
        </is>
      </c>
      <c r="I4" s="3" t="inlineStr">
        <is>
          <t>Switchgrass_BT23</t>
        </is>
      </c>
      <c r="J4" s="3" t="inlineStr">
        <is>
          <t>Willow_BT23</t>
        </is>
      </c>
      <c r="K4" s="3" t="inlineStr">
        <is>
          <t>Poplar_BT23</t>
        </is>
      </c>
      <c r="L4" s="3" t="inlineStr">
        <is>
          <t>Logging_Residues_BT23</t>
        </is>
      </c>
      <c r="M4" s="3" t="inlineStr">
        <is>
          <t>SmallDiameter_Trees_BT23</t>
        </is>
      </c>
      <c r="N4" s="3" t="inlineStr">
        <is>
          <t>Mill_Residues_BT23</t>
        </is>
      </c>
      <c r="O4" s="3" t="inlineStr">
        <is>
          <t>Other_Forest_Waste_BT23</t>
        </is>
      </c>
      <c r="P4" s="3" t="inlineStr">
        <is>
          <t>TOTAL_Feedstock_BT23</t>
        </is>
      </c>
      <c r="Q4" s="3" t="inlineStr">
        <is>
          <t>Wheat_Straw_NASS_theor</t>
        </is>
      </c>
      <c r="R4" s="3" t="inlineStr">
        <is>
          <t>Oats_Straw_NASS_theor</t>
        </is>
      </c>
    </row>
    <row r="5">
      <c r="A5" s="9" t="n">
        <v>1</v>
      </c>
      <c r="B5" s="4" t="inlineStr">
        <is>
          <t>Adams County</t>
        </is>
      </c>
      <c r="C5" s="4" t="inlineStr">
        <is>
          <t>55001</t>
        </is>
      </c>
      <c r="D5" s="9" t="n">
        <v>43.973757</v>
      </c>
      <c r="E5" s="9" t="n">
        <v>-89.767228</v>
      </c>
      <c r="F5" s="9" t="n">
        <v>645.6</v>
      </c>
      <c r="G5" s="9" t="n">
        <v>12773</v>
      </c>
      <c r="H5" s="9" t="n">
        <v>119220</v>
      </c>
      <c r="I5" s="9" t="n">
        <v>0</v>
      </c>
      <c r="J5" s="9" t="n">
        <v>63745</v>
      </c>
      <c r="K5" s="9" t="n">
        <v>138</v>
      </c>
      <c r="L5" s="9" t="n">
        <v>6608.299999999999</v>
      </c>
      <c r="M5" s="9" t="n">
        <v>139.7</v>
      </c>
      <c r="N5" s="9" t="n">
        <v>0</v>
      </c>
      <c r="O5" s="9" t="n">
        <v>6367.93</v>
      </c>
      <c r="P5" s="4">
        <f>SUM(G5:O5)</f>
        <v/>
      </c>
      <c r="Q5" s="10" t="n">
        <v>404.051648</v>
      </c>
      <c r="R5" s="10" t="n">
        <v>59.27655825000001</v>
      </c>
    </row>
    <row r="6">
      <c r="A6" s="11" t="n">
        <v>2</v>
      </c>
      <c r="B6" s="6" t="inlineStr">
        <is>
          <t>Ashland County</t>
        </is>
      </c>
      <c r="C6" s="6" t="inlineStr">
        <is>
          <t>55003</t>
        </is>
      </c>
      <c r="D6" s="11" t="n">
        <v>46.544424</v>
      </c>
      <c r="E6" s="11" t="n">
        <v>-90.67969100000001</v>
      </c>
      <c r="F6" s="11" t="n">
        <v>1045</v>
      </c>
      <c r="G6" s="11" t="n">
        <v>0</v>
      </c>
      <c r="H6" s="11" t="n">
        <v>31185</v>
      </c>
      <c r="I6" s="11" t="n">
        <v>0</v>
      </c>
      <c r="J6" s="11" t="n">
        <v>1158</v>
      </c>
      <c r="K6" s="11" t="n">
        <v>536</v>
      </c>
      <c r="L6" s="11" t="n">
        <v>36211.2</v>
      </c>
      <c r="M6" s="11" t="n">
        <v>59282.5</v>
      </c>
      <c r="N6" s="11" t="n">
        <v>0</v>
      </c>
      <c r="O6" s="11" t="n">
        <v>1640.3</v>
      </c>
      <c r="P6" s="6">
        <f>SUM(G6:O6)</f>
        <v/>
      </c>
      <c r="Q6" s="11" t="n">
        <v>0</v>
      </c>
      <c r="R6" s="12" t="n">
        <v>76.08632850000001</v>
      </c>
    </row>
    <row r="7">
      <c r="A7" s="9" t="n">
        <v>3</v>
      </c>
      <c r="B7" s="4" t="inlineStr">
        <is>
          <t>Barron County</t>
        </is>
      </c>
      <c r="C7" s="4" t="inlineStr">
        <is>
          <t>55005</t>
        </is>
      </c>
      <c r="D7" s="9" t="n">
        <v>45.437192</v>
      </c>
      <c r="E7" s="9" t="n">
        <v>-91.852892</v>
      </c>
      <c r="F7" s="9" t="n">
        <v>863.1</v>
      </c>
      <c r="G7" s="9" t="n">
        <v>131851</v>
      </c>
      <c r="H7" s="9" t="n">
        <v>89154</v>
      </c>
      <c r="I7" s="9" t="n">
        <v>0</v>
      </c>
      <c r="J7" s="9" t="n">
        <v>1455</v>
      </c>
      <c r="K7" s="9" t="n">
        <v>3656</v>
      </c>
      <c r="L7" s="9" t="n">
        <v>7007.400000000001</v>
      </c>
      <c r="M7" s="9" t="n">
        <v>5512.9</v>
      </c>
      <c r="N7" s="9" t="n">
        <v>18174.13</v>
      </c>
      <c r="O7" s="9" t="n">
        <v>0</v>
      </c>
      <c r="P7" s="4">
        <f>SUM(G7:O7)</f>
        <v/>
      </c>
      <c r="Q7" s="10" t="n">
        <v>2618.376397</v>
      </c>
      <c r="R7" s="10" t="n">
        <v>184.12891497</v>
      </c>
    </row>
    <row r="8">
      <c r="A8" s="11" t="n">
        <v>4</v>
      </c>
      <c r="B8" s="6" t="inlineStr">
        <is>
          <t>Bayfield County</t>
        </is>
      </c>
      <c r="C8" s="6" t="inlineStr">
        <is>
          <t>55007</t>
        </is>
      </c>
      <c r="D8" s="11" t="n">
        <v>46.634199</v>
      </c>
      <c r="E8" s="11" t="n">
        <v>-91.17728200000001</v>
      </c>
      <c r="F8" s="11" t="n">
        <v>1477.9</v>
      </c>
      <c r="G8" s="11" t="n">
        <v>0</v>
      </c>
      <c r="H8" s="11" t="n">
        <v>41749</v>
      </c>
      <c r="I8" s="11" t="n">
        <v>0</v>
      </c>
      <c r="J8" s="11" t="n">
        <v>1352</v>
      </c>
      <c r="K8" s="11" t="n">
        <v>280</v>
      </c>
      <c r="L8" s="11" t="n">
        <v>67962.29999999999</v>
      </c>
      <c r="M8" s="11" t="n">
        <v>73581.3</v>
      </c>
      <c r="N8" s="11" t="n">
        <v>0</v>
      </c>
      <c r="O8" s="11" t="n">
        <v>1940.61</v>
      </c>
      <c r="P8" s="6">
        <f>SUM(G8:O8)</f>
        <v/>
      </c>
      <c r="Q8" s="12" t="n">
        <v>648.11565</v>
      </c>
      <c r="R8" s="11" t="n">
        <v>0</v>
      </c>
    </row>
    <row r="9">
      <c r="A9" s="9" t="n">
        <v>5</v>
      </c>
      <c r="B9" s="4" t="inlineStr">
        <is>
          <t>Brown County</t>
        </is>
      </c>
      <c r="C9" s="4" t="inlineStr">
        <is>
          <t>55009</t>
        </is>
      </c>
      <c r="D9" s="9" t="n">
        <v>44.474024</v>
      </c>
      <c r="E9" s="9" t="n">
        <v>-87.99612999999999</v>
      </c>
      <c r="F9" s="9" t="n">
        <v>530.1</v>
      </c>
      <c r="G9" s="9" t="n">
        <v>73530</v>
      </c>
      <c r="H9" s="9" t="n">
        <v>22118</v>
      </c>
      <c r="I9" s="9" t="n">
        <v>0</v>
      </c>
      <c r="J9" s="9" t="n">
        <v>4158</v>
      </c>
      <c r="K9" s="9" t="n">
        <v>818</v>
      </c>
      <c r="L9" s="9" t="n">
        <v>4599.799999999999</v>
      </c>
      <c r="M9" s="9" t="n">
        <v>4303.1</v>
      </c>
      <c r="N9" s="9" t="n">
        <v>45.96</v>
      </c>
      <c r="O9" s="9" t="n">
        <v>0</v>
      </c>
      <c r="P9" s="4">
        <f>SUM(G9:O9)</f>
        <v/>
      </c>
      <c r="Q9" s="10" t="n">
        <v>8802.287675999998</v>
      </c>
      <c r="R9" s="10" t="n">
        <v>737.56553325</v>
      </c>
    </row>
    <row r="10">
      <c r="A10" s="11" t="n">
        <v>6</v>
      </c>
      <c r="B10" s="6" t="inlineStr">
        <is>
          <t>Buffalo County</t>
        </is>
      </c>
      <c r="C10" s="6" t="inlineStr">
        <is>
          <t>55011</t>
        </is>
      </c>
      <c r="D10" s="11" t="n">
        <v>44.385633</v>
      </c>
      <c r="E10" s="11" t="n">
        <v>-91.76129400000001</v>
      </c>
      <c r="F10" s="11" t="n">
        <v>675.8</v>
      </c>
      <c r="G10" s="11" t="n">
        <v>16308</v>
      </c>
      <c r="H10" s="11" t="n">
        <v>5568</v>
      </c>
      <c r="I10" s="11" t="n">
        <v>0</v>
      </c>
      <c r="J10" s="11" t="n">
        <v>1201</v>
      </c>
      <c r="K10" s="11" t="n">
        <v>529</v>
      </c>
      <c r="L10" s="11" t="n">
        <v>3308.4</v>
      </c>
      <c r="M10" s="11" t="n">
        <v>4002.1</v>
      </c>
      <c r="N10" s="11" t="n">
        <v>2046.87</v>
      </c>
      <c r="O10" s="11" t="n">
        <v>340.87</v>
      </c>
      <c r="P10" s="6">
        <f>SUM(G10:O10)</f>
        <v/>
      </c>
      <c r="Q10" s="12" t="n">
        <v>400.0774049999999</v>
      </c>
      <c r="R10" s="12" t="n">
        <v>360.1419549</v>
      </c>
    </row>
    <row r="11">
      <c r="A11" s="9" t="n">
        <v>7</v>
      </c>
      <c r="B11" s="4" t="inlineStr">
        <is>
          <t>Burnett County</t>
        </is>
      </c>
      <c r="C11" s="4" t="inlineStr">
        <is>
          <t>55013</t>
        </is>
      </c>
      <c r="D11" s="9" t="n">
        <v>45.866897</v>
      </c>
      <c r="E11" s="9" t="n">
        <v>-92.37573</v>
      </c>
      <c r="F11" s="9" t="n">
        <v>821.6</v>
      </c>
      <c r="G11" s="9" t="n">
        <v>22130</v>
      </c>
      <c r="H11" s="9" t="n">
        <v>76992</v>
      </c>
      <c r="I11" s="9" t="n">
        <v>0</v>
      </c>
      <c r="J11" s="9" t="n">
        <v>424</v>
      </c>
      <c r="K11" s="9" t="n">
        <v>1269</v>
      </c>
      <c r="L11" s="9" t="n">
        <v>11975.5</v>
      </c>
      <c r="M11" s="9" t="n">
        <v>9363.799999999999</v>
      </c>
      <c r="N11" s="9" t="n">
        <v>0</v>
      </c>
      <c r="O11" s="9" t="n">
        <v>66.15000000000001</v>
      </c>
      <c r="P11" s="4">
        <f>SUM(G11:O11)</f>
        <v/>
      </c>
      <c r="Q11" s="10" t="n">
        <v>93.75748199999998</v>
      </c>
      <c r="R11" s="10" t="n">
        <v>240.62153934</v>
      </c>
    </row>
    <row r="12">
      <c r="A12" s="11" t="n">
        <v>8</v>
      </c>
      <c r="B12" s="6" t="inlineStr">
        <is>
          <t>Calumet County</t>
        </is>
      </c>
      <c r="C12" s="6" t="inlineStr">
        <is>
          <t>55015</t>
        </is>
      </c>
      <c r="D12" s="11" t="n">
        <v>44.07841</v>
      </c>
      <c r="E12" s="11" t="n">
        <v>-88.212132</v>
      </c>
      <c r="F12" s="11" t="n">
        <v>318.2</v>
      </c>
      <c r="G12" s="11" t="n">
        <v>0</v>
      </c>
      <c r="H12" s="11" t="n">
        <v>7651</v>
      </c>
      <c r="I12" s="11" t="n">
        <v>0</v>
      </c>
      <c r="J12" s="11" t="n">
        <v>1537</v>
      </c>
      <c r="K12" s="11" t="n">
        <v>0</v>
      </c>
      <c r="L12" s="11" t="n">
        <v>1884.7</v>
      </c>
      <c r="M12" s="11" t="n">
        <v>1813.7</v>
      </c>
      <c r="N12" s="11" t="n">
        <v>0</v>
      </c>
      <c r="O12" s="11" t="n">
        <v>261.58</v>
      </c>
      <c r="P12" s="6">
        <f>SUM(G12:O12)</f>
        <v/>
      </c>
      <c r="Q12" s="12" t="n">
        <v>7982.272480000001</v>
      </c>
      <c r="R12" s="12" t="n">
        <v>252.624305115</v>
      </c>
    </row>
    <row r="13">
      <c r="A13" s="9" t="n">
        <v>9</v>
      </c>
      <c r="B13" s="4" t="inlineStr">
        <is>
          <t>Chippewa County</t>
        </is>
      </c>
      <c r="C13" s="4" t="inlineStr">
        <is>
          <t>55017</t>
        </is>
      </c>
      <c r="D13" s="9" t="n">
        <v>45.069092</v>
      </c>
      <c r="E13" s="9" t="n">
        <v>-91.28350500000001</v>
      </c>
      <c r="F13" s="9" t="n">
        <v>1008.4</v>
      </c>
      <c r="G13" s="9" t="n">
        <v>311645</v>
      </c>
      <c r="H13" s="9" t="n">
        <v>71519</v>
      </c>
      <c r="I13" s="9" t="n">
        <v>0</v>
      </c>
      <c r="J13" s="9" t="n">
        <v>10359</v>
      </c>
      <c r="K13" s="9" t="n">
        <v>0</v>
      </c>
      <c r="L13" s="9" t="n">
        <v>7888.9</v>
      </c>
      <c r="M13" s="9" t="n">
        <v>6219.7</v>
      </c>
      <c r="N13" s="9" t="n">
        <v>0</v>
      </c>
      <c r="O13" s="9" t="n">
        <v>14927.52</v>
      </c>
      <c r="P13" s="4">
        <f>SUM(G13:O13)</f>
        <v/>
      </c>
      <c r="Q13" s="10" t="n">
        <v>1356.841213</v>
      </c>
      <c r="R13" s="10" t="n">
        <v>331.32352071</v>
      </c>
    </row>
    <row r="14">
      <c r="A14" s="11" t="n">
        <v>10</v>
      </c>
      <c r="B14" s="6" t="inlineStr">
        <is>
          <t>Clark County</t>
        </is>
      </c>
      <c r="C14" s="6" t="inlineStr">
        <is>
          <t>55019</t>
        </is>
      </c>
      <c r="D14" s="11" t="n">
        <v>44.739346</v>
      </c>
      <c r="E14" s="11" t="n">
        <v>-90.609953</v>
      </c>
      <c r="F14" s="11" t="n">
        <v>1209.7</v>
      </c>
      <c r="G14" s="11" t="n">
        <v>121519</v>
      </c>
      <c r="H14" s="11" t="n">
        <v>549906</v>
      </c>
      <c r="I14" s="11" t="n">
        <v>0</v>
      </c>
      <c r="J14" s="11" t="n">
        <v>6395</v>
      </c>
      <c r="K14" s="11" t="n">
        <v>3776</v>
      </c>
      <c r="L14" s="11" t="n">
        <v>26988.7</v>
      </c>
      <c r="M14" s="11" t="n">
        <v>17603.1</v>
      </c>
      <c r="N14" s="11" t="n">
        <v>0</v>
      </c>
      <c r="O14" s="11" t="n">
        <v>2049.38</v>
      </c>
      <c r="P14" s="6">
        <f>SUM(G14:O14)</f>
        <v/>
      </c>
      <c r="Q14" s="12" t="n">
        <v>2432.832311</v>
      </c>
      <c r="R14" s="12" t="n">
        <v>1183.32525129</v>
      </c>
    </row>
    <row r="15">
      <c r="A15" s="9" t="n">
        <v>11</v>
      </c>
      <c r="B15" s="4" t="inlineStr">
        <is>
          <t>Columbia County</t>
        </is>
      </c>
      <c r="C15" s="4" t="inlineStr">
        <is>
          <t>55021</t>
        </is>
      </c>
      <c r="D15" s="9" t="n">
        <v>43.471882</v>
      </c>
      <c r="E15" s="9" t="n">
        <v>-89.330472</v>
      </c>
      <c r="F15" s="9" t="n">
        <v>765.6</v>
      </c>
      <c r="G15" s="9" t="n">
        <v>0</v>
      </c>
      <c r="H15" s="9" t="n">
        <v>32277</v>
      </c>
      <c r="I15" s="9" t="n">
        <v>0</v>
      </c>
      <c r="J15" s="9" t="n">
        <v>6403</v>
      </c>
      <c r="K15" s="9" t="n">
        <v>0</v>
      </c>
      <c r="L15" s="9" t="n">
        <v>2268.2</v>
      </c>
      <c r="M15" s="9" t="n">
        <v>2843.8</v>
      </c>
      <c r="N15" s="9" t="n">
        <v>0</v>
      </c>
      <c r="O15" s="9" t="n">
        <v>293.3</v>
      </c>
      <c r="P15" s="4">
        <f>SUM(G15:O15)</f>
        <v/>
      </c>
      <c r="Q15" s="10" t="n">
        <v>5758.32075</v>
      </c>
      <c r="R15" s="10" t="n">
        <v>173.176022565</v>
      </c>
    </row>
    <row r="16">
      <c r="A16" s="11" t="n">
        <v>12</v>
      </c>
      <c r="B16" s="6" t="inlineStr">
        <is>
          <t>Crawford County</t>
        </is>
      </c>
      <c r="C16" s="6" t="inlineStr">
        <is>
          <t>55023</t>
        </is>
      </c>
      <c r="D16" s="11" t="n">
        <v>43.242768</v>
      </c>
      <c r="E16" s="11" t="n">
        <v>-90.935185</v>
      </c>
      <c r="F16" s="11" t="n">
        <v>570.8</v>
      </c>
      <c r="G16" s="11" t="n">
        <v>32808</v>
      </c>
      <c r="H16" s="11" t="n">
        <v>9132</v>
      </c>
      <c r="I16" s="11" t="n">
        <v>0</v>
      </c>
      <c r="J16" s="11" t="n">
        <v>2172</v>
      </c>
      <c r="K16" s="11" t="n">
        <v>870</v>
      </c>
      <c r="L16" s="11" t="n">
        <v>2007.6</v>
      </c>
      <c r="M16" s="11" t="n">
        <v>11947.5</v>
      </c>
      <c r="N16" s="11" t="n">
        <v>76.95</v>
      </c>
      <c r="O16" s="11" t="n">
        <v>1934.44</v>
      </c>
      <c r="P16" s="6">
        <f>SUM(G16:O16)</f>
        <v/>
      </c>
      <c r="Q16" s="12" t="n">
        <v>889.8189299999999</v>
      </c>
      <c r="R16" s="12" t="n">
        <v>182.18252052</v>
      </c>
    </row>
    <row r="17">
      <c r="A17" s="9" t="n">
        <v>13</v>
      </c>
      <c r="B17" s="4" t="inlineStr">
        <is>
          <t>Dane County</t>
        </is>
      </c>
      <c r="C17" s="4" t="inlineStr">
        <is>
          <t>55025</t>
        </is>
      </c>
      <c r="D17" s="9" t="n">
        <v>43.067468</v>
      </c>
      <c r="E17" s="9" t="n">
        <v>-89.417852</v>
      </c>
      <c r="F17" s="9" t="n">
        <v>1196.5</v>
      </c>
      <c r="G17" s="9" t="n">
        <v>584205</v>
      </c>
      <c r="H17" s="9" t="n">
        <v>62599</v>
      </c>
      <c r="I17" s="9" t="n">
        <v>0</v>
      </c>
      <c r="J17" s="9" t="n">
        <v>13606</v>
      </c>
      <c r="K17" s="9" t="n">
        <v>0</v>
      </c>
      <c r="L17" s="9" t="n">
        <v>3478.7</v>
      </c>
      <c r="M17" s="9" t="n">
        <v>3246</v>
      </c>
      <c r="N17" s="9" t="n">
        <v>12.75</v>
      </c>
      <c r="O17" s="9" t="n">
        <v>11529.58</v>
      </c>
      <c r="P17" s="4">
        <f>SUM(G17:O17)</f>
        <v/>
      </c>
      <c r="Q17" s="10" t="n">
        <v>9155.583800999999</v>
      </c>
      <c r="R17" s="10" t="n">
        <v>125.377293405</v>
      </c>
    </row>
    <row r="18">
      <c r="A18" s="11" t="n">
        <v>14</v>
      </c>
      <c r="B18" s="6" t="inlineStr">
        <is>
          <t>Dodge County</t>
        </is>
      </c>
      <c r="C18" s="6" t="inlineStr">
        <is>
          <t>55027</t>
        </is>
      </c>
      <c r="D18" s="11" t="n">
        <v>43.429628</v>
      </c>
      <c r="E18" s="11" t="n">
        <v>-88.701939</v>
      </c>
      <c r="F18" s="11" t="n">
        <v>875.7</v>
      </c>
      <c r="G18" s="11" t="n">
        <v>404843</v>
      </c>
      <c r="H18" s="11" t="n">
        <v>32800</v>
      </c>
      <c r="I18" s="11" t="n">
        <v>0</v>
      </c>
      <c r="J18" s="11" t="n">
        <v>6532</v>
      </c>
      <c r="K18" s="11" t="n">
        <v>0</v>
      </c>
      <c r="L18" s="11" t="n">
        <v>803.5</v>
      </c>
      <c r="M18" s="11" t="n">
        <v>847.5</v>
      </c>
      <c r="N18" s="11" t="n">
        <v>0</v>
      </c>
      <c r="O18" s="11" t="n">
        <v>0</v>
      </c>
      <c r="P18" s="6">
        <f>SUM(G18:O18)</f>
        <v/>
      </c>
      <c r="Q18" s="12" t="n">
        <v>13940.139213</v>
      </c>
      <c r="R18" s="12" t="n">
        <v>444.19080615</v>
      </c>
    </row>
    <row r="19">
      <c r="A19" s="9" t="n">
        <v>15</v>
      </c>
      <c r="B19" s="4" t="inlineStr">
        <is>
          <t>Door County</t>
        </is>
      </c>
      <c r="C19" s="4" t="inlineStr">
        <is>
          <t>55029</t>
        </is>
      </c>
      <c r="D19" s="9" t="n">
        <v>45.093417</v>
      </c>
      <c r="E19" s="9" t="n">
        <v>-87.048683</v>
      </c>
      <c r="F19" s="9" t="n">
        <v>481.9</v>
      </c>
      <c r="G19" s="9" t="n">
        <v>15516</v>
      </c>
      <c r="H19" s="9" t="n">
        <v>112759</v>
      </c>
      <c r="I19" s="9" t="n">
        <v>0</v>
      </c>
      <c r="J19" s="9" t="n">
        <v>31315</v>
      </c>
      <c r="K19" s="9" t="n">
        <v>445</v>
      </c>
      <c r="L19" s="9" t="n">
        <v>9413.199999999999</v>
      </c>
      <c r="M19" s="9" t="n">
        <v>8748.4</v>
      </c>
      <c r="N19" s="9" t="n">
        <v>0</v>
      </c>
      <c r="O19" s="9" t="n">
        <v>13627.2</v>
      </c>
      <c r="P19" s="4">
        <f>SUM(G19:O19)</f>
        <v/>
      </c>
      <c r="Q19" s="10" t="n">
        <v>7135.368877</v>
      </c>
      <c r="R19" s="10" t="n">
        <v>934.6232259000001</v>
      </c>
    </row>
    <row r="20">
      <c r="A20" s="11" t="n">
        <v>16</v>
      </c>
      <c r="B20" s="6" t="inlineStr">
        <is>
          <t>Douglas County</t>
        </is>
      </c>
      <c r="C20" s="6" t="inlineStr">
        <is>
          <t>55031</t>
        </is>
      </c>
      <c r="D20" s="11" t="n">
        <v>46.463218</v>
      </c>
      <c r="E20" s="11" t="n">
        <v>-91.892477</v>
      </c>
      <c r="F20" s="11" t="n">
        <v>1304.3</v>
      </c>
      <c r="G20" s="11" t="n">
        <v>0</v>
      </c>
      <c r="H20" s="11" t="n">
        <v>34915</v>
      </c>
      <c r="I20" s="11" t="n">
        <v>0</v>
      </c>
      <c r="J20" s="11" t="n">
        <v>0</v>
      </c>
      <c r="K20" s="11" t="n">
        <v>365</v>
      </c>
      <c r="L20" s="11" t="n">
        <v>12845.2</v>
      </c>
      <c r="M20" s="11" t="n">
        <v>9359.800000000001</v>
      </c>
      <c r="N20" s="11" t="n">
        <v>0</v>
      </c>
      <c r="O20" s="11" t="n">
        <v>339.78</v>
      </c>
      <c r="P20" s="6">
        <f>SUM(G20:O20)</f>
        <v/>
      </c>
      <c r="Q20" s="11" t="n">
        <v>0</v>
      </c>
      <c r="R20" s="11" t="n">
        <v>0</v>
      </c>
    </row>
    <row r="21">
      <c r="A21" s="9" t="n">
        <v>17</v>
      </c>
      <c r="B21" s="4" t="inlineStr">
        <is>
          <t>Dunn County</t>
        </is>
      </c>
      <c r="C21" s="4" t="inlineStr">
        <is>
          <t>55033</t>
        </is>
      </c>
      <c r="D21" s="9" t="n">
        <v>44.947751</v>
      </c>
      <c r="E21" s="9" t="n">
        <v>-91.897645</v>
      </c>
      <c r="F21" s="9" t="n">
        <v>850.2</v>
      </c>
      <c r="G21" s="9" t="n">
        <v>254368</v>
      </c>
      <c r="H21" s="9" t="n">
        <v>6075</v>
      </c>
      <c r="I21" s="9" t="n">
        <v>0</v>
      </c>
      <c r="J21" s="9" t="n">
        <v>1272</v>
      </c>
      <c r="K21" s="9" t="n">
        <v>574</v>
      </c>
      <c r="L21" s="9" t="n">
        <v>3155.7</v>
      </c>
      <c r="M21" s="9" t="n">
        <v>3289.2</v>
      </c>
      <c r="N21" s="9" t="n">
        <v>0</v>
      </c>
      <c r="O21" s="9" t="n">
        <v>4673.6</v>
      </c>
      <c r="P21" s="4">
        <f>SUM(G21:O21)</f>
        <v/>
      </c>
      <c r="Q21" s="10" t="n">
        <v>201.895876</v>
      </c>
      <c r="R21" s="10" t="n">
        <v>355.205190795</v>
      </c>
    </row>
    <row r="22">
      <c r="A22" s="11" t="n">
        <v>18</v>
      </c>
      <c r="B22" s="6" t="inlineStr">
        <is>
          <t>Eau Claire County</t>
        </is>
      </c>
      <c r="C22" s="6" t="inlineStr">
        <is>
          <t>55035</t>
        </is>
      </c>
      <c r="D22" s="11" t="n">
        <v>44.726355</v>
      </c>
      <c r="E22" s="11" t="n">
        <v>-91.28641399999999</v>
      </c>
      <c r="F22" s="11" t="n">
        <v>637.9</v>
      </c>
      <c r="G22" s="11" t="n">
        <v>78847</v>
      </c>
      <c r="H22" s="11" t="n">
        <v>6403</v>
      </c>
      <c r="I22" s="11" t="n">
        <v>0</v>
      </c>
      <c r="J22" s="11" t="n">
        <v>0</v>
      </c>
      <c r="K22" s="11" t="n">
        <v>0</v>
      </c>
      <c r="L22" s="11" t="n">
        <v>2816.2</v>
      </c>
      <c r="M22" s="11" t="n">
        <v>2608.7</v>
      </c>
      <c r="N22" s="11" t="n">
        <v>0</v>
      </c>
      <c r="O22" s="11" t="n">
        <v>4733.74</v>
      </c>
      <c r="P22" s="6">
        <f>SUM(G22:O22)</f>
        <v/>
      </c>
      <c r="Q22" s="12" t="n">
        <v>177.660574</v>
      </c>
      <c r="R22" s="12" t="n">
        <v>197.57673117</v>
      </c>
    </row>
    <row r="23">
      <c r="A23" s="9" t="n">
        <v>19</v>
      </c>
      <c r="B23" s="4" t="inlineStr">
        <is>
          <t>Florence County</t>
        </is>
      </c>
      <c r="C23" s="4" t="inlineStr">
        <is>
          <t>55037</t>
        </is>
      </c>
      <c r="D23" s="9" t="n">
        <v>45.871828</v>
      </c>
      <c r="E23" s="9" t="n">
        <v>-88.406988</v>
      </c>
      <c r="F23" s="9" t="n">
        <v>488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19034.1</v>
      </c>
      <c r="M23" s="9" t="n">
        <v>7152.7</v>
      </c>
      <c r="N23" s="9" t="n">
        <v>0</v>
      </c>
      <c r="O23" s="9" t="n">
        <v>0</v>
      </c>
      <c r="P23" s="4">
        <f>SUM(G23:O23)</f>
        <v/>
      </c>
      <c r="Q23" s="9" t="n">
        <v>0</v>
      </c>
      <c r="R23" s="10" t="n">
        <v>114.430299165</v>
      </c>
    </row>
    <row r="24">
      <c r="A24" s="11" t="n">
        <v>20</v>
      </c>
      <c r="B24" s="6" t="inlineStr">
        <is>
          <t>Fond du Lac County</t>
        </is>
      </c>
      <c r="C24" s="6" t="inlineStr">
        <is>
          <t>55039</t>
        </is>
      </c>
      <c r="D24" s="11" t="n">
        <v>43.754722</v>
      </c>
      <c r="E24" s="11" t="n">
        <v>-88.493284</v>
      </c>
      <c r="F24" s="11" t="n">
        <v>719.6</v>
      </c>
      <c r="G24" s="11" t="n">
        <v>278427</v>
      </c>
      <c r="H24" s="11" t="n">
        <v>9702</v>
      </c>
      <c r="I24" s="11" t="n">
        <v>0</v>
      </c>
      <c r="J24" s="11" t="n">
        <v>14975</v>
      </c>
      <c r="K24" s="11" t="n">
        <v>0</v>
      </c>
      <c r="L24" s="11" t="n">
        <v>6490.3</v>
      </c>
      <c r="M24" s="11" t="n">
        <v>6335</v>
      </c>
      <c r="N24" s="11" t="n">
        <v>0</v>
      </c>
      <c r="O24" s="11" t="n">
        <v>0</v>
      </c>
      <c r="P24" s="6">
        <f>SUM(G24:O24)</f>
        <v/>
      </c>
      <c r="Q24" s="12" t="n">
        <v>14647.392032</v>
      </c>
      <c r="R24" s="12" t="n">
        <v>215.69589405</v>
      </c>
    </row>
    <row r="25">
      <c r="A25" s="9" t="n">
        <v>21</v>
      </c>
      <c r="B25" s="4" t="inlineStr">
        <is>
          <t>Forest County</t>
        </is>
      </c>
      <c r="C25" s="4" t="inlineStr">
        <is>
          <t>55041</t>
        </is>
      </c>
      <c r="D25" s="9" t="n">
        <v>45.666881</v>
      </c>
      <c r="E25" s="9" t="n">
        <v>-88.773326</v>
      </c>
      <c r="F25" s="9" t="n">
        <v>1014.3</v>
      </c>
      <c r="G25" s="9" t="n">
        <v>0</v>
      </c>
      <c r="H25" s="9" t="n">
        <v>10846</v>
      </c>
      <c r="I25" s="9" t="n">
        <v>0</v>
      </c>
      <c r="J25" s="9" t="n">
        <v>0</v>
      </c>
      <c r="K25" s="9" t="n">
        <v>0</v>
      </c>
      <c r="L25" s="9" t="n">
        <v>57132</v>
      </c>
      <c r="M25" s="9" t="n">
        <v>28509.4</v>
      </c>
      <c r="N25" s="9" t="n">
        <v>5.98</v>
      </c>
      <c r="O25" s="9" t="n">
        <v>1727.45</v>
      </c>
      <c r="P25" s="4">
        <f>SUM(G25:O25)</f>
        <v/>
      </c>
      <c r="Q25" s="9" t="n">
        <v>0</v>
      </c>
      <c r="R25" s="10" t="n">
        <v>163.968987</v>
      </c>
    </row>
    <row r="26">
      <c r="A26" s="11" t="n">
        <v>22</v>
      </c>
      <c r="B26" s="6" t="inlineStr">
        <is>
          <t>Grant County</t>
        </is>
      </c>
      <c r="C26" s="6" t="inlineStr">
        <is>
          <t>55043</t>
        </is>
      </c>
      <c r="D26" s="11" t="n">
        <v>42.870028</v>
      </c>
      <c r="E26" s="11" t="n">
        <v>-90.69422900000001</v>
      </c>
      <c r="F26" s="11" t="n">
        <v>1146.9</v>
      </c>
      <c r="G26" s="11" t="n">
        <v>202661</v>
      </c>
      <c r="H26" s="11" t="n">
        <v>9031</v>
      </c>
      <c r="I26" s="11" t="n">
        <v>0</v>
      </c>
      <c r="J26" s="11" t="n">
        <v>2475</v>
      </c>
      <c r="K26" s="11" t="n">
        <v>0</v>
      </c>
      <c r="L26" s="11" t="n">
        <v>2243.6</v>
      </c>
      <c r="M26" s="11" t="n">
        <v>12565</v>
      </c>
      <c r="N26" s="11" t="n">
        <v>0</v>
      </c>
      <c r="O26" s="11" t="n">
        <v>473.38</v>
      </c>
      <c r="P26" s="6">
        <f>SUM(G26:O26)</f>
        <v/>
      </c>
      <c r="Q26" s="12" t="n">
        <v>2880.438196999999</v>
      </c>
      <c r="R26" s="12" t="n">
        <v>997.6156281</v>
      </c>
    </row>
    <row r="27">
      <c r="A27" s="9" t="n">
        <v>23</v>
      </c>
      <c r="B27" s="4" t="inlineStr">
        <is>
          <t>Green County</t>
        </is>
      </c>
      <c r="C27" s="4" t="inlineStr">
        <is>
          <t>55045</t>
        </is>
      </c>
      <c r="D27" s="9" t="n">
        <v>42.675522</v>
      </c>
      <c r="E27" s="9" t="n">
        <v>-89.605074</v>
      </c>
      <c r="F27" s="9" t="n">
        <v>584</v>
      </c>
      <c r="G27" s="9" t="n">
        <v>181118</v>
      </c>
      <c r="H27" s="9" t="n">
        <v>45499</v>
      </c>
      <c r="I27" s="9" t="n">
        <v>0</v>
      </c>
      <c r="J27" s="9" t="n">
        <v>8456</v>
      </c>
      <c r="K27" s="9" t="n">
        <v>0</v>
      </c>
      <c r="L27" s="9" t="n">
        <v>1403.7</v>
      </c>
      <c r="M27" s="9" t="n">
        <v>1234.7</v>
      </c>
      <c r="N27" s="9" t="n">
        <v>0</v>
      </c>
      <c r="O27" s="9" t="n">
        <v>21.74</v>
      </c>
      <c r="P27" s="4">
        <f>SUM(G27:O27)</f>
        <v/>
      </c>
      <c r="Q27" s="10" t="n">
        <v>4791.919131999999</v>
      </c>
      <c r="R27" s="10" t="n">
        <v>288.52643547</v>
      </c>
    </row>
    <row r="28">
      <c r="A28" s="11" t="n">
        <v>24</v>
      </c>
      <c r="B28" s="6" t="inlineStr">
        <is>
          <t>Green Lake County</t>
        </is>
      </c>
      <c r="C28" s="6" t="inlineStr">
        <is>
          <t>55047</t>
        </is>
      </c>
      <c r="D28" s="11" t="n">
        <v>43.780247</v>
      </c>
      <c r="E28" s="11" t="n">
        <v>-88.97038000000001</v>
      </c>
      <c r="F28" s="11" t="n">
        <v>349.5</v>
      </c>
      <c r="G28" s="11" t="n">
        <v>166574</v>
      </c>
      <c r="H28" s="11" t="n">
        <v>9872</v>
      </c>
      <c r="I28" s="11" t="n">
        <v>0</v>
      </c>
      <c r="J28" s="11" t="n">
        <v>2345</v>
      </c>
      <c r="K28" s="11" t="n">
        <v>0</v>
      </c>
      <c r="L28" s="11" t="n">
        <v>664.9</v>
      </c>
      <c r="M28" s="11" t="n">
        <v>0</v>
      </c>
      <c r="N28" s="11" t="n">
        <v>0</v>
      </c>
      <c r="O28" s="11" t="n">
        <v>0</v>
      </c>
      <c r="P28" s="6">
        <f>SUM(G28:O28)</f>
        <v/>
      </c>
      <c r="Q28" s="12" t="n">
        <v>3174.640469</v>
      </c>
      <c r="R28" s="12" t="n">
        <v>237.55449354</v>
      </c>
    </row>
    <row r="29">
      <c r="A29" s="9" t="n">
        <v>25</v>
      </c>
      <c r="B29" s="4" t="inlineStr">
        <is>
          <t>Iowa County</t>
        </is>
      </c>
      <c r="C29" s="4" t="inlineStr">
        <is>
          <t>55049</t>
        </is>
      </c>
      <c r="D29" s="9" t="n">
        <v>43.001021</v>
      </c>
      <c r="E29" s="9" t="n">
        <v>-90.133691</v>
      </c>
      <c r="F29" s="9" t="n">
        <v>762.7</v>
      </c>
      <c r="G29" s="9" t="n">
        <v>164347</v>
      </c>
      <c r="H29" s="9" t="n">
        <v>4689</v>
      </c>
      <c r="I29" s="9" t="n">
        <v>0</v>
      </c>
      <c r="J29" s="9" t="n">
        <v>1140</v>
      </c>
      <c r="K29" s="9" t="n">
        <v>0</v>
      </c>
      <c r="L29" s="9" t="n">
        <v>1564.3</v>
      </c>
      <c r="M29" s="9" t="n">
        <v>9499.799999999999</v>
      </c>
      <c r="N29" s="9" t="n">
        <v>0</v>
      </c>
      <c r="O29" s="9" t="n">
        <v>0</v>
      </c>
      <c r="P29" s="4">
        <f>SUM(G29:O29)</f>
        <v/>
      </c>
      <c r="Q29" s="10" t="n">
        <v>1682.653336</v>
      </c>
      <c r="R29" s="10" t="n">
        <v>422.739180045</v>
      </c>
    </row>
    <row r="30">
      <c r="A30" s="11" t="n">
        <v>26</v>
      </c>
      <c r="B30" s="6" t="inlineStr">
        <is>
          <t>Iron County</t>
        </is>
      </c>
      <c r="C30" s="6" t="inlineStr">
        <is>
          <t>55051</t>
        </is>
      </c>
      <c r="D30" s="11" t="n">
        <v>46.32655</v>
      </c>
      <c r="E30" s="11" t="n">
        <v>-90.261298</v>
      </c>
      <c r="F30" s="11" t="n">
        <v>758.2</v>
      </c>
      <c r="G30" s="11" t="n">
        <v>0</v>
      </c>
      <c r="H30" s="11" t="n">
        <v>3041</v>
      </c>
      <c r="I30" s="11" t="n">
        <v>0</v>
      </c>
      <c r="J30" s="11" t="n">
        <v>27</v>
      </c>
      <c r="K30" s="11" t="n">
        <v>0</v>
      </c>
      <c r="L30" s="11" t="n">
        <v>18010.6</v>
      </c>
      <c r="M30" s="11" t="n">
        <v>12140.1</v>
      </c>
      <c r="N30" s="11" t="n">
        <v>33.83</v>
      </c>
      <c r="O30" s="11" t="n">
        <v>3577.49</v>
      </c>
      <c r="P30" s="6">
        <f>SUM(G30:O30)</f>
        <v/>
      </c>
      <c r="Q30" s="11" t="n">
        <v>0</v>
      </c>
      <c r="R30" s="11" t="n">
        <v>0</v>
      </c>
    </row>
    <row r="31">
      <c r="A31" s="9" t="n">
        <v>27</v>
      </c>
      <c r="B31" s="4" t="inlineStr">
        <is>
          <t>Jackson County</t>
        </is>
      </c>
      <c r="C31" s="4" t="inlineStr">
        <is>
          <t>55053</t>
        </is>
      </c>
      <c r="D31" s="9" t="n">
        <v>44.32459</v>
      </c>
      <c r="E31" s="9" t="n">
        <v>-90.79951</v>
      </c>
      <c r="F31" s="9" t="n">
        <v>987.9</v>
      </c>
      <c r="G31" s="9" t="n">
        <v>115054</v>
      </c>
      <c r="H31" s="9" t="n">
        <v>6477</v>
      </c>
      <c r="I31" s="9" t="n">
        <v>0</v>
      </c>
      <c r="J31" s="9" t="n">
        <v>1323</v>
      </c>
      <c r="K31" s="9" t="n">
        <v>0</v>
      </c>
      <c r="L31" s="9" t="n">
        <v>5880.4</v>
      </c>
      <c r="M31" s="9" t="n">
        <v>4149.9</v>
      </c>
      <c r="N31" s="9" t="n">
        <v>0</v>
      </c>
      <c r="O31" s="9" t="n">
        <v>1178.21</v>
      </c>
      <c r="P31" s="4">
        <f>SUM(G31:O31)</f>
        <v/>
      </c>
      <c r="Q31" s="9" t="n">
        <v>0</v>
      </c>
      <c r="R31" s="10" t="n">
        <v>344.222807565</v>
      </c>
    </row>
    <row r="32">
      <c r="A32" s="11" t="n">
        <v>28</v>
      </c>
      <c r="B32" s="6" t="inlineStr">
        <is>
          <t>Jefferson County</t>
        </is>
      </c>
      <c r="C32" s="6" t="inlineStr">
        <is>
          <t>55055</t>
        </is>
      </c>
      <c r="D32" s="11" t="n">
        <v>43.013804</v>
      </c>
      <c r="E32" s="11" t="n">
        <v>-88.773985</v>
      </c>
      <c r="F32" s="11" t="n">
        <v>556.5</v>
      </c>
      <c r="G32" s="11" t="n">
        <v>299366</v>
      </c>
      <c r="H32" s="11" t="n">
        <v>17812</v>
      </c>
      <c r="I32" s="11" t="n">
        <v>0</v>
      </c>
      <c r="J32" s="11" t="n">
        <v>3418</v>
      </c>
      <c r="K32" s="11" t="n">
        <v>0</v>
      </c>
      <c r="L32" s="11" t="n">
        <v>874.7</v>
      </c>
      <c r="M32" s="11" t="n">
        <v>930.4000000000001</v>
      </c>
      <c r="N32" s="11" t="n">
        <v>0</v>
      </c>
      <c r="O32" s="11" t="n">
        <v>0</v>
      </c>
      <c r="P32" s="6">
        <f>SUM(G32:O32)</f>
        <v/>
      </c>
      <c r="Q32" s="12" t="n">
        <v>3921.061780999999</v>
      </c>
      <c r="R32" s="12" t="n">
        <v>29.73854793</v>
      </c>
    </row>
    <row r="33">
      <c r="A33" s="9" t="n">
        <v>29</v>
      </c>
      <c r="B33" s="4" t="inlineStr">
        <is>
          <t>Juneau County</t>
        </is>
      </c>
      <c r="C33" s="4" t="inlineStr">
        <is>
          <t>55057</t>
        </is>
      </c>
      <c r="D33" s="9" t="n">
        <v>43.932836</v>
      </c>
      <c r="E33" s="9" t="n">
        <v>-90.113984</v>
      </c>
      <c r="F33" s="9" t="n">
        <v>767.1</v>
      </c>
      <c r="G33" s="9" t="n">
        <v>47767</v>
      </c>
      <c r="H33" s="9" t="n">
        <v>52658</v>
      </c>
      <c r="I33" s="9" t="n">
        <v>0</v>
      </c>
      <c r="J33" s="9" t="n">
        <v>5212</v>
      </c>
      <c r="K33" s="9" t="n">
        <v>0</v>
      </c>
      <c r="L33" s="9" t="n">
        <v>34899.9</v>
      </c>
      <c r="M33" s="9" t="n">
        <v>11362.8</v>
      </c>
      <c r="N33" s="9" t="n">
        <v>1745.23</v>
      </c>
      <c r="O33" s="9" t="n">
        <v>433.73</v>
      </c>
      <c r="P33" s="4">
        <f>SUM(G33:O33)</f>
        <v/>
      </c>
      <c r="Q33" s="10" t="n">
        <v>1105.565097</v>
      </c>
      <c r="R33" s="10" t="n">
        <v>63.36398659499999</v>
      </c>
    </row>
    <row r="34">
      <c r="A34" s="11" t="n">
        <v>30</v>
      </c>
      <c r="B34" s="6" t="inlineStr">
        <is>
          <t>Kenosha County</t>
        </is>
      </c>
      <c r="C34" s="6" t="inlineStr">
        <is>
          <t>55059</t>
        </is>
      </c>
      <c r="D34" s="11" t="n">
        <v>42.587526</v>
      </c>
      <c r="E34" s="11" t="n">
        <v>-87.87999600000001</v>
      </c>
      <c r="F34" s="11" t="n">
        <v>271.8</v>
      </c>
      <c r="G34" s="11" t="n">
        <v>116853</v>
      </c>
      <c r="H34" s="11" t="n">
        <v>1284</v>
      </c>
      <c r="I34" s="11" t="n">
        <v>0</v>
      </c>
      <c r="J34" s="11" t="n">
        <v>326</v>
      </c>
      <c r="K34" s="11" t="n">
        <v>0</v>
      </c>
      <c r="L34" s="11" t="n">
        <v>600.8</v>
      </c>
      <c r="M34" s="11" t="n">
        <v>675.4</v>
      </c>
      <c r="N34" s="11" t="n">
        <v>0</v>
      </c>
      <c r="O34" s="11" t="n">
        <v>0</v>
      </c>
      <c r="P34" s="6">
        <f>SUM(G34:O34)</f>
        <v/>
      </c>
      <c r="Q34" s="12" t="n">
        <v>2914.51706</v>
      </c>
      <c r="R34" s="12" t="n">
        <v>12.356655675</v>
      </c>
    </row>
    <row r="35">
      <c r="A35" s="9" t="n">
        <v>31</v>
      </c>
      <c r="B35" s="4" t="inlineStr">
        <is>
          <t>Kewaunee County</t>
        </is>
      </c>
      <c r="C35" s="4" t="inlineStr">
        <is>
          <t>55061</t>
        </is>
      </c>
      <c r="D35" s="9" t="n">
        <v>44.605677</v>
      </c>
      <c r="E35" s="9" t="n">
        <v>-87.448008</v>
      </c>
      <c r="F35" s="9" t="n">
        <v>342.5</v>
      </c>
      <c r="G35" s="9" t="n">
        <v>71225</v>
      </c>
      <c r="H35" s="9" t="n">
        <v>12424</v>
      </c>
      <c r="I35" s="9" t="n">
        <v>0</v>
      </c>
      <c r="J35" s="9" t="n">
        <v>2581</v>
      </c>
      <c r="K35" s="9" t="n">
        <v>0</v>
      </c>
      <c r="L35" s="9" t="n">
        <v>1797.1</v>
      </c>
      <c r="M35" s="9" t="n">
        <v>1635.9</v>
      </c>
      <c r="N35" s="9" t="n">
        <v>0</v>
      </c>
      <c r="O35" s="9" t="n">
        <v>0</v>
      </c>
      <c r="P35" s="4">
        <f>SUM(G35:O35)</f>
        <v/>
      </c>
      <c r="Q35" s="10" t="n">
        <v>9340.640581999996</v>
      </c>
      <c r="R35" s="10" t="n">
        <v>1136.747442285</v>
      </c>
    </row>
    <row r="36">
      <c r="A36" s="11" t="n">
        <v>32</v>
      </c>
      <c r="B36" s="6" t="inlineStr">
        <is>
          <t>La Crosse County</t>
        </is>
      </c>
      <c r="C36" s="6" t="inlineStr">
        <is>
          <t>55063</t>
        </is>
      </c>
      <c r="D36" s="11" t="n">
        <v>43.908222</v>
      </c>
      <c r="E36" s="11" t="n">
        <v>-91.11175799999999</v>
      </c>
      <c r="F36" s="11" t="n">
        <v>451.8</v>
      </c>
      <c r="G36" s="11" t="n">
        <v>44499</v>
      </c>
      <c r="H36" s="11" t="n">
        <v>3390</v>
      </c>
      <c r="I36" s="11" t="n">
        <v>0</v>
      </c>
      <c r="J36" s="11" t="n">
        <v>786</v>
      </c>
      <c r="K36" s="11" t="n">
        <v>324</v>
      </c>
      <c r="L36" s="11" t="n">
        <v>2278.1</v>
      </c>
      <c r="M36" s="11" t="n">
        <v>2645.1</v>
      </c>
      <c r="N36" s="11" t="n">
        <v>0</v>
      </c>
      <c r="O36" s="11" t="n">
        <v>473.79</v>
      </c>
      <c r="P36" s="6">
        <f>SUM(G36:O36)</f>
        <v/>
      </c>
      <c r="Q36" s="12" t="n">
        <v>61.50871999999999</v>
      </c>
      <c r="R36" s="12" t="n">
        <v>43.439985225</v>
      </c>
    </row>
    <row r="37">
      <c r="A37" s="9" t="n">
        <v>33</v>
      </c>
      <c r="B37" s="4" t="inlineStr">
        <is>
          <t>Lafayette County</t>
        </is>
      </c>
      <c r="C37" s="4" t="inlineStr">
        <is>
          <t>55065</t>
        </is>
      </c>
      <c r="D37" s="9" t="n">
        <v>42.655578</v>
      </c>
      <c r="E37" s="9" t="n">
        <v>-90.130292</v>
      </c>
      <c r="F37" s="9" t="n">
        <v>633.6</v>
      </c>
      <c r="G37" s="9" t="n">
        <v>167032</v>
      </c>
      <c r="H37" s="9" t="n">
        <v>7403</v>
      </c>
      <c r="I37" s="9" t="n">
        <v>0</v>
      </c>
      <c r="J37" s="9" t="n">
        <v>2502</v>
      </c>
      <c r="K37" s="9" t="n">
        <v>0</v>
      </c>
      <c r="L37" s="9" t="n">
        <v>432.2</v>
      </c>
      <c r="M37" s="9" t="n">
        <v>2630.7</v>
      </c>
      <c r="N37" s="9" t="n">
        <v>0</v>
      </c>
      <c r="O37" s="9" t="n">
        <v>90.63</v>
      </c>
      <c r="P37" s="4">
        <f>SUM(G37:O37)</f>
        <v/>
      </c>
      <c r="Q37" s="10" t="n">
        <v>1767.336116</v>
      </c>
      <c r="R37" s="10" t="n">
        <v>319.851589785</v>
      </c>
    </row>
    <row r="38">
      <c r="A38" s="11" t="n">
        <v>34</v>
      </c>
      <c r="B38" s="6" t="inlineStr">
        <is>
          <t>Langlade County</t>
        </is>
      </c>
      <c r="C38" s="6" t="inlineStr">
        <is>
          <t>55067</t>
        </is>
      </c>
      <c r="D38" s="11" t="n">
        <v>45.254863</v>
      </c>
      <c r="E38" s="11" t="n">
        <v>-89.06707</v>
      </c>
      <c r="F38" s="11" t="n">
        <v>870.7</v>
      </c>
      <c r="G38" s="11" t="n">
        <v>672</v>
      </c>
      <c r="H38" s="11" t="n">
        <v>88019</v>
      </c>
      <c r="I38" s="11" t="n">
        <v>28455</v>
      </c>
      <c r="J38" s="11" t="n">
        <v>0</v>
      </c>
      <c r="K38" s="11" t="n">
        <v>0</v>
      </c>
      <c r="L38" s="11" t="n">
        <v>20062.2</v>
      </c>
      <c r="M38" s="11" t="n">
        <v>3652.5</v>
      </c>
      <c r="N38" s="11" t="n">
        <v>1507.32</v>
      </c>
      <c r="O38" s="11" t="n">
        <v>0</v>
      </c>
      <c r="P38" s="6">
        <f>SUM(G38:O38)</f>
        <v/>
      </c>
      <c r="Q38" s="12" t="n">
        <v>1806.667044</v>
      </c>
      <c r="R38" s="12" t="n">
        <v>3157.09898322</v>
      </c>
    </row>
    <row r="39">
      <c r="A39" s="9" t="n">
        <v>35</v>
      </c>
      <c r="B39" s="4" t="inlineStr">
        <is>
          <t>Lincoln County</t>
        </is>
      </c>
      <c r="C39" s="4" t="inlineStr">
        <is>
          <t>55069</t>
        </is>
      </c>
      <c r="D39" s="9" t="n">
        <v>45.333148</v>
      </c>
      <c r="E39" s="9" t="n">
        <v>-89.73224</v>
      </c>
      <c r="F39" s="9" t="n">
        <v>878.7</v>
      </c>
      <c r="G39" s="9" t="n">
        <v>7924</v>
      </c>
      <c r="H39" s="9" t="n">
        <v>61956</v>
      </c>
      <c r="I39" s="9" t="n">
        <v>0</v>
      </c>
      <c r="J39" s="9" t="n">
        <v>0</v>
      </c>
      <c r="K39" s="9" t="n">
        <v>0</v>
      </c>
      <c r="L39" s="9" t="n">
        <v>24069.9</v>
      </c>
      <c r="M39" s="9" t="n">
        <v>15903.5</v>
      </c>
      <c r="N39" s="9" t="n">
        <v>0</v>
      </c>
      <c r="O39" s="9" t="n">
        <v>42.01</v>
      </c>
      <c r="P39" s="4">
        <f>SUM(G39:O39)</f>
        <v/>
      </c>
      <c r="Q39" s="10" t="n">
        <v>181.006735</v>
      </c>
      <c r="R39" s="10" t="n">
        <v>219.606377445</v>
      </c>
    </row>
    <row r="40">
      <c r="A40" s="11" t="n">
        <v>36</v>
      </c>
      <c r="B40" s="6" t="inlineStr">
        <is>
          <t>Manitowoc County</t>
        </is>
      </c>
      <c r="C40" s="6" t="inlineStr">
        <is>
          <t>55071</t>
        </is>
      </c>
      <c r="D40" s="11" t="n">
        <v>44.156137</v>
      </c>
      <c r="E40" s="11" t="n">
        <v>-87.577352</v>
      </c>
      <c r="F40" s="11" t="n">
        <v>589.3</v>
      </c>
      <c r="G40" s="11" t="n">
        <v>0</v>
      </c>
      <c r="H40" s="11" t="n">
        <v>28762</v>
      </c>
      <c r="I40" s="11" t="n">
        <v>0</v>
      </c>
      <c r="J40" s="11" t="n">
        <v>3180</v>
      </c>
      <c r="K40" s="11" t="n">
        <v>0</v>
      </c>
      <c r="L40" s="11" t="n">
        <v>4125</v>
      </c>
      <c r="M40" s="11" t="n">
        <v>3805.2</v>
      </c>
      <c r="N40" s="11" t="n">
        <v>0</v>
      </c>
      <c r="O40" s="11" t="n">
        <v>0</v>
      </c>
      <c r="P40" s="6">
        <f>SUM(G40:O40)</f>
        <v/>
      </c>
      <c r="Q40" s="12" t="n">
        <v>13507.282425</v>
      </c>
      <c r="R40" s="12" t="n">
        <v>525.791918925</v>
      </c>
    </row>
    <row r="41">
      <c r="A41" s="9" t="n">
        <v>37</v>
      </c>
      <c r="B41" s="4" t="inlineStr">
        <is>
          <t>Marathon County</t>
        </is>
      </c>
      <c r="C41" s="4" t="inlineStr">
        <is>
          <t>55073</t>
        </is>
      </c>
      <c r="D41" s="9" t="n">
        <v>44.898036</v>
      </c>
      <c r="E41" s="9" t="n">
        <v>-89.757823</v>
      </c>
      <c r="F41" s="9" t="n">
        <v>1545.2</v>
      </c>
      <c r="G41" s="9" t="n">
        <v>108378</v>
      </c>
      <c r="H41" s="9" t="n">
        <v>557178</v>
      </c>
      <c r="I41" s="9" t="n">
        <v>0</v>
      </c>
      <c r="J41" s="9" t="n">
        <v>915</v>
      </c>
      <c r="K41" s="9" t="n">
        <v>0</v>
      </c>
      <c r="L41" s="9" t="n">
        <v>30239.5</v>
      </c>
      <c r="M41" s="9" t="n">
        <v>20152.5</v>
      </c>
      <c r="N41" s="9" t="n">
        <v>675</v>
      </c>
      <c r="O41" s="9" t="n">
        <v>271.6</v>
      </c>
      <c r="P41" s="4">
        <f>SUM(G41:O41)</f>
        <v/>
      </c>
      <c r="Q41" s="10" t="n">
        <v>3635.620169999999</v>
      </c>
      <c r="R41" s="10" t="n">
        <v>2637.31729443</v>
      </c>
    </row>
    <row r="42">
      <c r="A42" s="11" t="n">
        <v>38</v>
      </c>
      <c r="B42" s="6" t="inlineStr">
        <is>
          <t>Marinette County</t>
        </is>
      </c>
      <c r="C42" s="6" t="inlineStr">
        <is>
          <t>55075</t>
        </is>
      </c>
      <c r="D42" s="11" t="n">
        <v>45.346899</v>
      </c>
      <c r="E42" s="11" t="n">
        <v>-87.991198</v>
      </c>
      <c r="F42" s="11" t="n">
        <v>1399.5</v>
      </c>
      <c r="G42" s="11" t="n">
        <v>0</v>
      </c>
      <c r="H42" s="11" t="n">
        <v>119662</v>
      </c>
      <c r="I42" s="11" t="n">
        <v>0</v>
      </c>
      <c r="J42" s="11" t="n">
        <v>24859</v>
      </c>
      <c r="K42" s="11" t="n">
        <v>0</v>
      </c>
      <c r="L42" s="11" t="n">
        <v>20545.6</v>
      </c>
      <c r="M42" s="11" t="n">
        <v>0</v>
      </c>
      <c r="N42" s="11" t="n">
        <v>131.73</v>
      </c>
      <c r="O42" s="11" t="n">
        <v>3169.86</v>
      </c>
      <c r="P42" s="6">
        <f>SUM(G42:O42)</f>
        <v/>
      </c>
      <c r="Q42" s="12" t="n">
        <v>1332.974097</v>
      </c>
      <c r="R42" s="12" t="n">
        <v>129.70064835</v>
      </c>
    </row>
    <row r="43">
      <c r="A43" s="9" t="n">
        <v>39</v>
      </c>
      <c r="B43" s="4" t="inlineStr">
        <is>
          <t>Marquette County</t>
        </is>
      </c>
      <c r="C43" s="4" t="inlineStr">
        <is>
          <t>55077</t>
        </is>
      </c>
      <c r="D43" s="9" t="n">
        <v>43.826053</v>
      </c>
      <c r="E43" s="9" t="n">
        <v>-89.40909499999999</v>
      </c>
      <c r="F43" s="9" t="n">
        <v>455.7</v>
      </c>
      <c r="G43" s="9" t="n">
        <v>35491</v>
      </c>
      <c r="H43" s="9" t="n">
        <v>132770</v>
      </c>
      <c r="I43" s="9" t="n">
        <v>0</v>
      </c>
      <c r="J43" s="9" t="n">
        <v>83296</v>
      </c>
      <c r="K43" s="9" t="n">
        <v>0</v>
      </c>
      <c r="L43" s="9" t="n">
        <v>2526.8</v>
      </c>
      <c r="M43" s="9" t="n">
        <v>93.09999999999999</v>
      </c>
      <c r="N43" s="9" t="n">
        <v>21.3</v>
      </c>
      <c r="O43" s="9" t="n">
        <v>0</v>
      </c>
      <c r="P43" s="4">
        <f>SUM(G43:O43)</f>
        <v/>
      </c>
      <c r="Q43" s="10" t="n">
        <v>700.3872329999999</v>
      </c>
      <c r="R43" s="10" t="n">
        <v>11.165226345</v>
      </c>
    </row>
    <row r="44">
      <c r="A44" s="11" t="n">
        <v>40</v>
      </c>
      <c r="B44" s="6" t="inlineStr">
        <is>
          <t>Menominee County</t>
        </is>
      </c>
      <c r="C44" s="6" t="inlineStr">
        <is>
          <t>55078</t>
        </is>
      </c>
      <c r="D44" s="11" t="n">
        <v>44.991304</v>
      </c>
      <c r="E44" s="11" t="n">
        <v>-88.669251</v>
      </c>
      <c r="F44" s="11" t="n">
        <v>357.6</v>
      </c>
      <c r="G44" s="11" t="n">
        <v>0</v>
      </c>
      <c r="H44" s="11" t="n">
        <v>0</v>
      </c>
      <c r="I44" s="11" t="n">
        <v>0</v>
      </c>
      <c r="J44" s="11" t="n">
        <v>0</v>
      </c>
      <c r="K44" s="11" t="n">
        <v>0</v>
      </c>
      <c r="L44" s="11" t="n">
        <v>6604.4</v>
      </c>
      <c r="M44" s="11" t="n">
        <v>0</v>
      </c>
      <c r="N44" s="11" t="n">
        <v>0</v>
      </c>
      <c r="O44" s="11" t="n">
        <v>0</v>
      </c>
      <c r="P44" s="6">
        <f>SUM(G44:O44)</f>
        <v/>
      </c>
      <c r="Q44" s="11" t="n">
        <v>0</v>
      </c>
      <c r="R44" s="11" t="n">
        <v>0</v>
      </c>
    </row>
    <row r="45">
      <c r="A45" s="9" t="n">
        <v>41</v>
      </c>
      <c r="B45" s="4" t="inlineStr">
        <is>
          <t>Milwaukee County</t>
        </is>
      </c>
      <c r="C45" s="4" t="inlineStr">
        <is>
          <t>55079</t>
        </is>
      </c>
      <c r="D45" s="9" t="n">
        <v>42.912643</v>
      </c>
      <c r="E45" s="9" t="n">
        <v>-87.862312</v>
      </c>
      <c r="F45" s="9" t="n">
        <v>241.5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238.8</v>
      </c>
      <c r="M45" s="9" t="n">
        <v>268.9</v>
      </c>
      <c r="N45" s="9" t="n">
        <v>0</v>
      </c>
      <c r="O45" s="9" t="n">
        <v>0</v>
      </c>
      <c r="P45" s="4">
        <f>SUM(G45:O45)</f>
        <v/>
      </c>
      <c r="Q45" s="10" t="n">
        <v>149.169475</v>
      </c>
      <c r="R45" s="9" t="n">
        <v>0</v>
      </c>
    </row>
    <row r="46">
      <c r="A46" s="11" t="n">
        <v>42</v>
      </c>
      <c r="B46" s="6" t="inlineStr">
        <is>
          <t>Monroe County</t>
        </is>
      </c>
      <c r="C46" s="6" t="inlineStr">
        <is>
          <t>55081</t>
        </is>
      </c>
      <c r="D46" s="11" t="n">
        <v>43.945175</v>
      </c>
      <c r="E46" s="11" t="n">
        <v>-90.619969</v>
      </c>
      <c r="F46" s="11" t="n">
        <v>900.9</v>
      </c>
      <c r="G46" s="11" t="n">
        <v>5780</v>
      </c>
      <c r="H46" s="11" t="n">
        <v>44796</v>
      </c>
      <c r="I46" s="11" t="n">
        <v>0</v>
      </c>
      <c r="J46" s="11" t="n">
        <v>1506</v>
      </c>
      <c r="K46" s="11" t="n">
        <v>656</v>
      </c>
      <c r="L46" s="11" t="n">
        <v>15312.5</v>
      </c>
      <c r="M46" s="11" t="n">
        <v>31411.3</v>
      </c>
      <c r="N46" s="11" t="n">
        <v>298.41</v>
      </c>
      <c r="O46" s="11" t="n">
        <v>6580.33</v>
      </c>
      <c r="P46" s="6">
        <f>SUM(G46:O46)</f>
        <v/>
      </c>
      <c r="Q46" s="12" t="n">
        <v>107.705234</v>
      </c>
      <c r="R46" s="12" t="n">
        <v>404.643609825</v>
      </c>
    </row>
    <row r="47">
      <c r="A47" s="9" t="n">
        <v>43</v>
      </c>
      <c r="B47" s="4" t="inlineStr">
        <is>
          <t>Oconto County</t>
        </is>
      </c>
      <c r="C47" s="4" t="inlineStr">
        <is>
          <t>55083</t>
        </is>
      </c>
      <c r="D47" s="9" t="n">
        <v>44.996575</v>
      </c>
      <c r="E47" s="9" t="n">
        <v>-88.20651599999999</v>
      </c>
      <c r="F47" s="9" t="n">
        <v>997.5</v>
      </c>
      <c r="G47" s="9" t="n">
        <v>27835</v>
      </c>
      <c r="H47" s="9" t="n">
        <v>214187</v>
      </c>
      <c r="I47" s="9" t="n">
        <v>0</v>
      </c>
      <c r="J47" s="9" t="n">
        <v>42803</v>
      </c>
      <c r="K47" s="9" t="n">
        <v>0</v>
      </c>
      <c r="L47" s="9" t="n">
        <v>26726.3</v>
      </c>
      <c r="M47" s="9" t="n">
        <v>11413.9</v>
      </c>
      <c r="N47" s="9" t="n">
        <v>0</v>
      </c>
      <c r="O47" s="9" t="n">
        <v>0</v>
      </c>
      <c r="P47" s="4">
        <f>SUM(G47:O47)</f>
        <v/>
      </c>
      <c r="Q47" s="10" t="n">
        <v>3232.532303</v>
      </c>
      <c r="R47" s="10" t="n">
        <v>749.5741971899999</v>
      </c>
    </row>
    <row r="48">
      <c r="A48" s="11" t="n">
        <v>44</v>
      </c>
      <c r="B48" s="6" t="inlineStr">
        <is>
          <t>Oneida County</t>
        </is>
      </c>
      <c r="C48" s="6" t="inlineStr">
        <is>
          <t>55085</t>
        </is>
      </c>
      <c r="D48" s="11" t="n">
        <v>45.716176</v>
      </c>
      <c r="E48" s="11" t="n">
        <v>-89.534533</v>
      </c>
      <c r="F48" s="11" t="n">
        <v>1113.9</v>
      </c>
      <c r="G48" s="11" t="n">
        <v>0</v>
      </c>
      <c r="H48" s="11" t="n">
        <v>17249</v>
      </c>
      <c r="I48" s="11" t="n">
        <v>0</v>
      </c>
      <c r="J48" s="11" t="n">
        <v>0</v>
      </c>
      <c r="K48" s="11" t="n">
        <v>0</v>
      </c>
      <c r="L48" s="11" t="n">
        <v>17421.7</v>
      </c>
      <c r="M48" s="11" t="n">
        <v>17262.4</v>
      </c>
      <c r="N48" s="11" t="n">
        <v>36.46</v>
      </c>
      <c r="O48" s="11" t="n">
        <v>7370.98</v>
      </c>
      <c r="P48" s="6">
        <f>SUM(G48:O48)</f>
        <v/>
      </c>
      <c r="Q48" s="11" t="n">
        <v>0</v>
      </c>
      <c r="R48" s="11" t="n">
        <v>0</v>
      </c>
    </row>
    <row r="49">
      <c r="A49" s="9" t="n">
        <v>45</v>
      </c>
      <c r="B49" s="4" t="inlineStr">
        <is>
          <t>Outagamie County</t>
        </is>
      </c>
      <c r="C49" s="4" t="inlineStr">
        <is>
          <t>55087</t>
        </is>
      </c>
      <c r="D49" s="9" t="n">
        <v>44.418226</v>
      </c>
      <c r="E49" s="9" t="n">
        <v>-88.46498800000001</v>
      </c>
      <c r="F49" s="9" t="n">
        <v>637.6</v>
      </c>
      <c r="G49" s="9" t="n">
        <v>82116</v>
      </c>
      <c r="H49" s="9" t="n">
        <v>13012</v>
      </c>
      <c r="I49" s="9" t="n">
        <v>0</v>
      </c>
      <c r="J49" s="9" t="n">
        <v>2959</v>
      </c>
      <c r="K49" s="9" t="n">
        <v>0</v>
      </c>
      <c r="L49" s="9" t="n">
        <v>3283.1</v>
      </c>
      <c r="M49" s="9" t="n">
        <v>2951.7</v>
      </c>
      <c r="N49" s="9" t="n">
        <v>0</v>
      </c>
      <c r="O49" s="9" t="n">
        <v>845.61</v>
      </c>
      <c r="P49" s="4">
        <f>SUM(G49:O49)</f>
        <v/>
      </c>
      <c r="Q49" s="10" t="n">
        <v>5481.758919</v>
      </c>
      <c r="R49" s="10" t="n">
        <v>447.9302427599999</v>
      </c>
    </row>
    <row r="50">
      <c r="A50" s="11" t="n">
        <v>46</v>
      </c>
      <c r="B50" s="6" t="inlineStr">
        <is>
          <t>Ozaukee County</t>
        </is>
      </c>
      <c r="C50" s="6" t="inlineStr">
        <is>
          <t>55089</t>
        </is>
      </c>
      <c r="D50" s="11" t="n">
        <v>43.501807</v>
      </c>
      <c r="E50" s="11" t="n">
        <v>-87.847551</v>
      </c>
      <c r="F50" s="11" t="n">
        <v>233</v>
      </c>
      <c r="G50" s="11" t="n">
        <v>61117</v>
      </c>
      <c r="H50" s="11" t="n">
        <v>1043</v>
      </c>
      <c r="I50" s="11" t="n">
        <v>0</v>
      </c>
      <c r="J50" s="11" t="n">
        <v>300</v>
      </c>
      <c r="K50" s="11" t="n">
        <v>0</v>
      </c>
      <c r="L50" s="11" t="n">
        <v>324.5000000000001</v>
      </c>
      <c r="M50" s="11" t="n">
        <v>358.6</v>
      </c>
      <c r="N50" s="11" t="n">
        <v>0</v>
      </c>
      <c r="O50" s="11" t="n">
        <v>0</v>
      </c>
      <c r="P50" s="6">
        <f>SUM(G50:O50)</f>
        <v/>
      </c>
      <c r="Q50" s="12" t="n">
        <v>2362.649562</v>
      </c>
      <c r="R50" s="12" t="n">
        <v>85.45261452</v>
      </c>
    </row>
    <row r="51">
      <c r="A51" s="9" t="n">
        <v>47</v>
      </c>
      <c r="B51" s="4" t="inlineStr">
        <is>
          <t>Pepin County</t>
        </is>
      </c>
      <c r="C51" s="4" t="inlineStr">
        <is>
          <t>55091</t>
        </is>
      </c>
      <c r="D51" s="9" t="n">
        <v>44.627436</v>
      </c>
      <c r="E51" s="9" t="n">
        <v>-91.83489</v>
      </c>
      <c r="F51" s="9" t="n">
        <v>232</v>
      </c>
      <c r="G51" s="9" t="n">
        <v>56777</v>
      </c>
      <c r="H51" s="9" t="n">
        <v>703</v>
      </c>
      <c r="I51" s="9" t="n">
        <v>0</v>
      </c>
      <c r="J51" s="9" t="n">
        <v>203</v>
      </c>
      <c r="K51" s="9" t="n">
        <v>0</v>
      </c>
      <c r="L51" s="9" t="n">
        <v>880.7</v>
      </c>
      <c r="M51" s="9" t="n">
        <v>1049.1</v>
      </c>
      <c r="N51" s="9" t="n">
        <v>0</v>
      </c>
      <c r="O51" s="9" t="n">
        <v>2110.86</v>
      </c>
      <c r="P51" s="4">
        <f>SUM(G51:O51)</f>
        <v/>
      </c>
      <c r="Q51" s="9" t="n">
        <v>0</v>
      </c>
      <c r="R51" s="9" t="n">
        <v>0</v>
      </c>
    </row>
    <row r="52">
      <c r="A52" s="11" t="n">
        <v>48</v>
      </c>
      <c r="B52" s="6" t="inlineStr">
        <is>
          <t>Pierce County</t>
        </is>
      </c>
      <c r="C52" s="6" t="inlineStr">
        <is>
          <t>55093</t>
        </is>
      </c>
      <c r="D52" s="11" t="n">
        <v>44.725336</v>
      </c>
      <c r="E52" s="11" t="n">
        <v>-92.42627899999999</v>
      </c>
      <c r="F52" s="11" t="n">
        <v>574</v>
      </c>
      <c r="G52" s="11" t="n">
        <v>153138</v>
      </c>
      <c r="H52" s="11" t="n">
        <v>7153</v>
      </c>
      <c r="I52" s="11" t="n">
        <v>0</v>
      </c>
      <c r="J52" s="11" t="n">
        <v>789</v>
      </c>
      <c r="K52" s="11" t="n">
        <v>0</v>
      </c>
      <c r="L52" s="11" t="n">
        <v>1945.5</v>
      </c>
      <c r="M52" s="11" t="n">
        <v>2402</v>
      </c>
      <c r="N52" s="11" t="n">
        <v>0</v>
      </c>
      <c r="O52" s="11" t="n">
        <v>0</v>
      </c>
      <c r="P52" s="6">
        <f>SUM(G52:O52)</f>
        <v/>
      </c>
      <c r="Q52" s="12" t="n">
        <v>441.17346</v>
      </c>
      <c r="R52" s="12" t="n">
        <v>504.2341258499999</v>
      </c>
    </row>
    <row r="53">
      <c r="A53" s="9" t="n">
        <v>49</v>
      </c>
      <c r="B53" s="4" t="inlineStr">
        <is>
          <t>Polk County</t>
        </is>
      </c>
      <c r="C53" s="4" t="inlineStr">
        <is>
          <t>55095</t>
        </is>
      </c>
      <c r="D53" s="9" t="n">
        <v>45.462041</v>
      </c>
      <c r="E53" s="9" t="n">
        <v>-92.44706600000001</v>
      </c>
      <c r="F53" s="9" t="n">
        <v>914.3</v>
      </c>
      <c r="G53" s="9" t="n">
        <v>111709</v>
      </c>
      <c r="H53" s="9" t="n">
        <v>63697</v>
      </c>
      <c r="I53" s="9" t="n">
        <v>0</v>
      </c>
      <c r="J53" s="9" t="n">
        <v>824</v>
      </c>
      <c r="K53" s="9" t="n">
        <v>399</v>
      </c>
      <c r="L53" s="9" t="n">
        <v>11141.7</v>
      </c>
      <c r="M53" s="9" t="n">
        <v>8788.900000000001</v>
      </c>
      <c r="N53" s="9" t="n">
        <v>0</v>
      </c>
      <c r="O53" s="9" t="n">
        <v>5846.62</v>
      </c>
      <c r="P53" s="4">
        <f>SUM(G53:O53)</f>
        <v/>
      </c>
      <c r="Q53" s="10" t="n">
        <v>288.008084</v>
      </c>
      <c r="R53" s="10" t="n">
        <v>269.92362306</v>
      </c>
    </row>
    <row r="54">
      <c r="A54" s="11" t="n">
        <v>50</v>
      </c>
      <c r="B54" s="6" t="inlineStr">
        <is>
          <t>Portage County</t>
        </is>
      </c>
      <c r="C54" s="6" t="inlineStr">
        <is>
          <t>55097</t>
        </is>
      </c>
      <c r="D54" s="11" t="n">
        <v>44.476246</v>
      </c>
      <c r="E54" s="11" t="n">
        <v>-89.49807</v>
      </c>
      <c r="F54" s="11" t="n">
        <v>800.9</v>
      </c>
      <c r="G54" s="11" t="n">
        <v>73238</v>
      </c>
      <c r="H54" s="11" t="n">
        <v>24464</v>
      </c>
      <c r="I54" s="11" t="n">
        <v>0</v>
      </c>
      <c r="J54" s="11" t="n">
        <v>4379</v>
      </c>
      <c r="K54" s="11" t="n">
        <v>127</v>
      </c>
      <c r="L54" s="11" t="n">
        <v>4523</v>
      </c>
      <c r="M54" s="11" t="n">
        <v>0</v>
      </c>
      <c r="N54" s="11" t="n">
        <v>0</v>
      </c>
      <c r="O54" s="11" t="n">
        <v>1336.83</v>
      </c>
      <c r="P54" s="6">
        <f>SUM(G54:O54)</f>
        <v/>
      </c>
      <c r="Q54" s="12" t="n">
        <v>631.2332389999999</v>
      </c>
      <c r="R54" s="12" t="n">
        <v>560.992167645</v>
      </c>
    </row>
    <row r="55">
      <c r="A55" s="9" t="n">
        <v>51</v>
      </c>
      <c r="B55" s="4" t="inlineStr">
        <is>
          <t>Price County</t>
        </is>
      </c>
      <c r="C55" s="4" t="inlineStr">
        <is>
          <t>55099</t>
        </is>
      </c>
      <c r="D55" s="9" t="n">
        <v>45.679072</v>
      </c>
      <c r="E55" s="9" t="n">
        <v>-90.35965</v>
      </c>
      <c r="F55" s="9" t="n">
        <v>1254.1</v>
      </c>
      <c r="G55" s="9" t="n">
        <v>5291</v>
      </c>
      <c r="H55" s="9" t="n">
        <v>47277</v>
      </c>
      <c r="I55" s="9" t="n">
        <v>0</v>
      </c>
      <c r="J55" s="9" t="n">
        <v>172</v>
      </c>
      <c r="K55" s="9" t="n">
        <v>1646</v>
      </c>
      <c r="L55" s="9" t="n">
        <v>37634.4</v>
      </c>
      <c r="M55" s="9" t="n">
        <v>36918.9</v>
      </c>
      <c r="N55" s="9" t="n">
        <v>0</v>
      </c>
      <c r="O55" s="9" t="n">
        <v>0</v>
      </c>
      <c r="P55" s="4">
        <f>SUM(G55:O55)</f>
        <v/>
      </c>
      <c r="Q55" s="9" t="n">
        <v>0</v>
      </c>
      <c r="R55" s="10" t="n">
        <v>64.4079618</v>
      </c>
    </row>
    <row r="56">
      <c r="A56" s="11" t="n">
        <v>52</v>
      </c>
      <c r="B56" s="6" t="inlineStr">
        <is>
          <t>Racine County</t>
        </is>
      </c>
      <c r="C56" s="6" t="inlineStr">
        <is>
          <t>55101</t>
        </is>
      </c>
      <c r="D56" s="11" t="n">
        <v>42.780392</v>
      </c>
      <c r="E56" s="11" t="n">
        <v>-87.77159899999999</v>
      </c>
      <c r="F56" s="11" t="n">
        <v>332.6</v>
      </c>
      <c r="G56" s="11" t="n">
        <v>99899</v>
      </c>
      <c r="H56" s="11" t="n">
        <v>510</v>
      </c>
      <c r="I56" s="11" t="n">
        <v>0</v>
      </c>
      <c r="J56" s="11" t="n">
        <v>174</v>
      </c>
      <c r="K56" s="11" t="n">
        <v>0</v>
      </c>
      <c r="L56" s="11" t="n">
        <v>670.6</v>
      </c>
      <c r="M56" s="11" t="n">
        <v>753.1</v>
      </c>
      <c r="N56" s="11" t="n">
        <v>0</v>
      </c>
      <c r="O56" s="11" t="n">
        <v>734.23</v>
      </c>
      <c r="P56" s="6">
        <f>SUM(G56:O56)</f>
        <v/>
      </c>
      <c r="Q56" s="12" t="n">
        <v>5745.575016999999</v>
      </c>
      <c r="R56" s="12" t="n">
        <v>150.96943134</v>
      </c>
    </row>
    <row r="57">
      <c r="A57" s="9" t="n">
        <v>53</v>
      </c>
      <c r="B57" s="4" t="inlineStr">
        <is>
          <t>Richland County</t>
        </is>
      </c>
      <c r="C57" s="4" t="inlineStr">
        <is>
          <t>55103</t>
        </is>
      </c>
      <c r="D57" s="9" t="n">
        <v>43.376199</v>
      </c>
      <c r="E57" s="9" t="n">
        <v>-90.435693</v>
      </c>
      <c r="F57" s="9" t="n">
        <v>586.1</v>
      </c>
      <c r="G57" s="9" t="n">
        <v>22735</v>
      </c>
      <c r="H57" s="9" t="n">
        <v>22924</v>
      </c>
      <c r="I57" s="9" t="n">
        <v>0</v>
      </c>
      <c r="J57" s="9" t="n">
        <v>989</v>
      </c>
      <c r="K57" s="9" t="n">
        <v>398</v>
      </c>
      <c r="L57" s="9" t="n">
        <v>1839.4</v>
      </c>
      <c r="M57" s="9" t="n">
        <v>11180.5</v>
      </c>
      <c r="N57" s="9" t="n">
        <v>0</v>
      </c>
      <c r="O57" s="9" t="n">
        <v>937.67</v>
      </c>
      <c r="P57" s="4">
        <f>SUM(G57:O57)</f>
        <v/>
      </c>
      <c r="Q57" s="10" t="n">
        <v>1105.889967</v>
      </c>
      <c r="R57" s="10" t="n">
        <v>148.875582765</v>
      </c>
    </row>
    <row r="58">
      <c r="A58" s="11" t="n">
        <v>54</v>
      </c>
      <c r="B58" s="6" t="inlineStr">
        <is>
          <t>Rock County</t>
        </is>
      </c>
      <c r="C58" s="6" t="inlineStr">
        <is>
          <t>55105</t>
        </is>
      </c>
      <c r="D58" s="11" t="n">
        <v>42.66988</v>
      </c>
      <c r="E58" s="11" t="n">
        <v>-89.075284</v>
      </c>
      <c r="F58" s="11" t="n">
        <v>718.2</v>
      </c>
      <c r="G58" s="11" t="n">
        <v>412673</v>
      </c>
      <c r="H58" s="11" t="n">
        <v>24866</v>
      </c>
      <c r="I58" s="11" t="n">
        <v>0</v>
      </c>
      <c r="J58" s="11" t="n">
        <v>5535</v>
      </c>
      <c r="K58" s="11" t="n">
        <v>0</v>
      </c>
      <c r="L58" s="11" t="n">
        <v>1352.8</v>
      </c>
      <c r="M58" s="11" t="n">
        <v>1262.1</v>
      </c>
      <c r="N58" s="11" t="n">
        <v>0</v>
      </c>
      <c r="O58" s="11" t="n">
        <v>0</v>
      </c>
      <c r="P58" s="6">
        <f>SUM(G58:O58)</f>
        <v/>
      </c>
      <c r="Q58" s="12" t="n">
        <v>3693.392884999999</v>
      </c>
      <c r="R58" s="12" t="n">
        <v>9.525536475000001</v>
      </c>
    </row>
    <row r="59">
      <c r="A59" s="9" t="n">
        <v>55</v>
      </c>
      <c r="B59" s="4" t="inlineStr">
        <is>
          <t>Rusk County</t>
        </is>
      </c>
      <c r="C59" s="4" t="inlineStr">
        <is>
          <t>55107</t>
        </is>
      </c>
      <c r="D59" s="9" t="n">
        <v>45.472734</v>
      </c>
      <c r="E59" s="9" t="n">
        <v>-91.136745</v>
      </c>
      <c r="F59" s="9" t="n">
        <v>913.6</v>
      </c>
      <c r="G59" s="9" t="n">
        <v>11197</v>
      </c>
      <c r="H59" s="9" t="n">
        <v>152819</v>
      </c>
      <c r="I59" s="9" t="n">
        <v>61583</v>
      </c>
      <c r="J59" s="9" t="n">
        <v>0</v>
      </c>
      <c r="K59" s="9" t="n">
        <v>0</v>
      </c>
      <c r="L59" s="9" t="n">
        <v>11449.6</v>
      </c>
      <c r="M59" s="9" t="n">
        <v>9117.5</v>
      </c>
      <c r="N59" s="9" t="n">
        <v>0</v>
      </c>
      <c r="O59" s="9" t="n">
        <v>0</v>
      </c>
      <c r="P59" s="4">
        <f>SUM(G59:O59)</f>
        <v/>
      </c>
      <c r="Q59" s="10" t="n">
        <v>244.7354</v>
      </c>
      <c r="R59" s="10" t="n">
        <v>38.84531469</v>
      </c>
    </row>
    <row r="60">
      <c r="A60" s="11" t="n">
        <v>56</v>
      </c>
      <c r="B60" s="6" t="inlineStr">
        <is>
          <t>St. Croix County</t>
        </is>
      </c>
      <c r="C60" s="6" t="inlineStr">
        <is>
          <t>55109</t>
        </is>
      </c>
      <c r="D60" s="11" t="n">
        <v>45.028959</v>
      </c>
      <c r="E60" s="11" t="n">
        <v>-92.447284</v>
      </c>
      <c r="F60" s="11" t="n">
        <v>722.2</v>
      </c>
      <c r="G60" s="11" t="n">
        <v>284592</v>
      </c>
      <c r="H60" s="11" t="n">
        <v>8693</v>
      </c>
      <c r="I60" s="11" t="n">
        <v>0</v>
      </c>
      <c r="J60" s="11" t="n">
        <v>950</v>
      </c>
      <c r="K60" s="11" t="n">
        <v>0</v>
      </c>
      <c r="L60" s="11" t="n">
        <v>2535.6</v>
      </c>
      <c r="M60" s="11" t="n">
        <v>3621</v>
      </c>
      <c r="N60" s="11" t="n">
        <v>0</v>
      </c>
      <c r="O60" s="11" t="n">
        <v>4428.74</v>
      </c>
      <c r="P60" s="6">
        <f>SUM(G60:O60)</f>
        <v/>
      </c>
      <c r="Q60" s="12" t="n">
        <v>389.08597</v>
      </c>
      <c r="R60" s="12" t="n">
        <v>329.43610791</v>
      </c>
    </row>
    <row r="61">
      <c r="A61" s="9" t="n">
        <v>57</v>
      </c>
      <c r="B61" s="4" t="inlineStr">
        <is>
          <t>Sauk County</t>
        </is>
      </c>
      <c r="C61" s="4" t="inlineStr">
        <is>
          <t>55111</t>
        </is>
      </c>
      <c r="D61" s="9" t="n">
        <v>43.428001</v>
      </c>
      <c r="E61" s="9" t="n">
        <v>-89.943318</v>
      </c>
      <c r="F61" s="9" t="n">
        <v>831.5</v>
      </c>
      <c r="G61" s="9" t="n">
        <v>81477</v>
      </c>
      <c r="H61" s="9" t="n">
        <v>5189</v>
      </c>
      <c r="I61" s="9" t="n">
        <v>0</v>
      </c>
      <c r="J61" s="9" t="n">
        <v>1308</v>
      </c>
      <c r="K61" s="9" t="n">
        <v>0</v>
      </c>
      <c r="L61" s="9" t="n">
        <v>2385.5</v>
      </c>
      <c r="M61" s="9" t="n">
        <v>11819.4</v>
      </c>
      <c r="N61" s="9" t="n">
        <v>0</v>
      </c>
      <c r="O61" s="9" t="n">
        <v>716.33</v>
      </c>
      <c r="P61" s="4">
        <f>SUM(G61:O61)</f>
        <v/>
      </c>
      <c r="Q61" s="10" t="n">
        <v>3931.306015</v>
      </c>
      <c r="R61" s="10" t="n">
        <v>123.09470355</v>
      </c>
    </row>
    <row r="62">
      <c r="A62" s="11" t="n">
        <v>58</v>
      </c>
      <c r="B62" s="6" t="inlineStr">
        <is>
          <t>Sawyer County</t>
        </is>
      </c>
      <c r="C62" s="6" t="inlineStr">
        <is>
          <t>55113</t>
        </is>
      </c>
      <c r="D62" s="11" t="n">
        <v>45.864999</v>
      </c>
      <c r="E62" s="11" t="n">
        <v>-91.147063</v>
      </c>
      <c r="F62" s="11" t="n">
        <v>1257.6</v>
      </c>
      <c r="G62" s="11" t="n">
        <v>6752</v>
      </c>
      <c r="H62" s="11" t="n">
        <v>12518</v>
      </c>
      <c r="I62" s="11" t="n">
        <v>0</v>
      </c>
      <c r="J62" s="11" t="n">
        <v>0</v>
      </c>
      <c r="K62" s="11" t="n">
        <v>0</v>
      </c>
      <c r="L62" s="11" t="n">
        <v>32989.2</v>
      </c>
      <c r="M62" s="11" t="n">
        <v>29422.1</v>
      </c>
      <c r="N62" s="11" t="n">
        <v>0</v>
      </c>
      <c r="O62" s="11" t="n">
        <v>977.1199999999999</v>
      </c>
      <c r="P62" s="6">
        <f>SUM(G62:O62)</f>
        <v/>
      </c>
      <c r="Q62" s="11" t="n">
        <v>0</v>
      </c>
      <c r="R62" s="11" t="n">
        <v>0</v>
      </c>
    </row>
    <row r="63">
      <c r="A63" s="9" t="n">
        <v>59</v>
      </c>
      <c r="B63" s="4" t="inlineStr">
        <is>
          <t>Shawano County</t>
        </is>
      </c>
      <c r="C63" s="4" t="inlineStr">
        <is>
          <t>55115</t>
        </is>
      </c>
      <c r="D63" s="9" t="n">
        <v>44.789641</v>
      </c>
      <c r="E63" s="9" t="n">
        <v>-88.755813</v>
      </c>
      <c r="F63" s="9" t="n">
        <v>893.2</v>
      </c>
      <c r="G63" s="9" t="n">
        <v>78001</v>
      </c>
      <c r="H63" s="9" t="n">
        <v>139529</v>
      </c>
      <c r="I63" s="9" t="n">
        <v>0</v>
      </c>
      <c r="J63" s="9" t="n">
        <v>4074</v>
      </c>
      <c r="K63" s="9" t="n">
        <v>0</v>
      </c>
      <c r="L63" s="9" t="n">
        <v>7586.200000000001</v>
      </c>
      <c r="M63" s="9" t="n">
        <v>0</v>
      </c>
      <c r="N63" s="9" t="n">
        <v>0</v>
      </c>
      <c r="O63" s="9" t="n">
        <v>0</v>
      </c>
      <c r="P63" s="4">
        <f>SUM(G63:O63)</f>
        <v/>
      </c>
      <c r="Q63" s="10" t="n">
        <v>3232.987121</v>
      </c>
      <c r="R63" s="10" t="n">
        <v>1206.451956255</v>
      </c>
    </row>
    <row r="64">
      <c r="A64" s="11" t="n">
        <v>60</v>
      </c>
      <c r="B64" s="6" t="inlineStr">
        <is>
          <t>Sheboygan County</t>
        </is>
      </c>
      <c r="C64" s="6" t="inlineStr">
        <is>
          <t>55117</t>
        </is>
      </c>
      <c r="D64" s="11" t="n">
        <v>43.741232</v>
      </c>
      <c r="E64" s="11" t="n">
        <v>-87.731516</v>
      </c>
      <c r="F64" s="11" t="n">
        <v>511.5</v>
      </c>
      <c r="G64" s="11" t="n">
        <v>171722</v>
      </c>
      <c r="H64" s="11" t="n">
        <v>23012</v>
      </c>
      <c r="I64" s="11" t="n">
        <v>0</v>
      </c>
      <c r="J64" s="11" t="n">
        <v>4566</v>
      </c>
      <c r="K64" s="11" t="n">
        <v>990</v>
      </c>
      <c r="L64" s="11" t="n">
        <v>7595.299999999999</v>
      </c>
      <c r="M64" s="11" t="n">
        <v>6579.1</v>
      </c>
      <c r="N64" s="11" t="n">
        <v>0</v>
      </c>
      <c r="O64" s="11" t="n">
        <v>0</v>
      </c>
      <c r="P64" s="6">
        <f>SUM(G64:O64)</f>
        <v/>
      </c>
      <c r="Q64" s="12" t="n">
        <v>12678.300817</v>
      </c>
      <c r="R64" s="12" t="n">
        <v>934.5760405799999</v>
      </c>
    </row>
    <row r="65">
      <c r="A65" s="9" t="n">
        <v>61</v>
      </c>
      <c r="B65" s="4" t="inlineStr">
        <is>
          <t>Taylor County</t>
        </is>
      </c>
      <c r="C65" s="4" t="inlineStr">
        <is>
          <t>55119</t>
        </is>
      </c>
      <c r="D65" s="9" t="n">
        <v>45.211656</v>
      </c>
      <c r="E65" s="9" t="n">
        <v>-90.504853</v>
      </c>
      <c r="F65" s="9" t="n">
        <v>975.1</v>
      </c>
      <c r="G65" s="9" t="n">
        <v>19207</v>
      </c>
      <c r="H65" s="9" t="n">
        <v>80415</v>
      </c>
      <c r="I65" s="9" t="n">
        <v>0</v>
      </c>
      <c r="J65" s="9" t="n">
        <v>0</v>
      </c>
      <c r="K65" s="9" t="n">
        <v>5030</v>
      </c>
      <c r="L65" s="9" t="n">
        <v>35960.1</v>
      </c>
      <c r="M65" s="9" t="n">
        <v>28943</v>
      </c>
      <c r="N65" s="9" t="n">
        <v>0</v>
      </c>
      <c r="O65" s="9" t="n">
        <v>2055.42</v>
      </c>
      <c r="P65" s="4">
        <f>SUM(G65:O65)</f>
        <v/>
      </c>
      <c r="Q65" s="10" t="n">
        <v>443.837394</v>
      </c>
      <c r="R65" s="10" t="n">
        <v>909.9747943650001</v>
      </c>
    </row>
    <row r="66">
      <c r="A66" s="11" t="n">
        <v>62</v>
      </c>
      <c r="B66" s="6" t="inlineStr">
        <is>
          <t>Trempealeau County</t>
        </is>
      </c>
      <c r="C66" s="6" t="inlineStr">
        <is>
          <t>55121</t>
        </is>
      </c>
      <c r="D66" s="11" t="n">
        <v>44.30305</v>
      </c>
      <c r="E66" s="11" t="n">
        <v>-91.358867</v>
      </c>
      <c r="F66" s="11" t="n">
        <v>733</v>
      </c>
      <c r="G66" s="11" t="n">
        <v>123238</v>
      </c>
      <c r="H66" s="11" t="n">
        <v>7614</v>
      </c>
      <c r="I66" s="11" t="n">
        <v>0</v>
      </c>
      <c r="J66" s="11" t="n">
        <v>1636</v>
      </c>
      <c r="K66" s="11" t="n">
        <v>727</v>
      </c>
      <c r="L66" s="11" t="n">
        <v>3177.5</v>
      </c>
      <c r="M66" s="11" t="n">
        <v>3637.6</v>
      </c>
      <c r="N66" s="11" t="n">
        <v>0</v>
      </c>
      <c r="O66" s="11" t="n">
        <v>751.5599999999999</v>
      </c>
      <c r="P66" s="6">
        <f>SUM(G66:O66)</f>
        <v/>
      </c>
      <c r="Q66" s="12" t="n">
        <v>249.93332</v>
      </c>
      <c r="R66" s="12" t="n">
        <v>74.299184505</v>
      </c>
    </row>
    <row r="67">
      <c r="A67" s="9" t="n">
        <v>63</v>
      </c>
      <c r="B67" s="4" t="inlineStr">
        <is>
          <t>Vernon County</t>
        </is>
      </c>
      <c r="C67" s="4" t="inlineStr">
        <is>
          <t>55123</t>
        </is>
      </c>
      <c r="D67" s="9" t="n">
        <v>43.599366</v>
      </c>
      <c r="E67" s="9" t="n">
        <v>-90.821983</v>
      </c>
      <c r="F67" s="9" t="n">
        <v>791.6</v>
      </c>
      <c r="G67" s="9" t="n">
        <v>8708</v>
      </c>
      <c r="H67" s="9" t="n">
        <v>17276</v>
      </c>
      <c r="I67" s="9" t="n">
        <v>0</v>
      </c>
      <c r="J67" s="9" t="n">
        <v>3826</v>
      </c>
      <c r="K67" s="9" t="n">
        <v>1657</v>
      </c>
      <c r="L67" s="9" t="n">
        <v>2318.4</v>
      </c>
      <c r="M67" s="9" t="n">
        <v>13908.5</v>
      </c>
      <c r="N67" s="9" t="n">
        <v>1221.15</v>
      </c>
      <c r="O67" s="9" t="n">
        <v>0</v>
      </c>
      <c r="P67" s="4">
        <f>SUM(G67:O67)</f>
        <v/>
      </c>
      <c r="Q67" s="10" t="n">
        <v>1054.798745</v>
      </c>
      <c r="R67" s="10" t="n">
        <v>461.950180965</v>
      </c>
    </row>
    <row r="68">
      <c r="A68" s="11" t="n">
        <v>64</v>
      </c>
      <c r="B68" s="6" t="inlineStr">
        <is>
          <t>Vilas County</t>
        </is>
      </c>
      <c r="C68" s="6" t="inlineStr">
        <is>
          <t>55125</t>
        </is>
      </c>
      <c r="D68" s="11" t="n">
        <v>46.049848</v>
      </c>
      <c r="E68" s="11" t="n">
        <v>-89.501254</v>
      </c>
      <c r="F68" s="11" t="n">
        <v>857.7</v>
      </c>
      <c r="G68" s="11" t="n">
        <v>0</v>
      </c>
      <c r="H68" s="11" t="n">
        <v>316</v>
      </c>
      <c r="I68" s="11" t="n">
        <v>0</v>
      </c>
      <c r="J68" s="11" t="n">
        <v>0</v>
      </c>
      <c r="K68" s="11" t="n">
        <v>0</v>
      </c>
      <c r="L68" s="11" t="n">
        <v>20319.1</v>
      </c>
      <c r="M68" s="11" t="n">
        <v>26902.5</v>
      </c>
      <c r="N68" s="11" t="n">
        <v>0</v>
      </c>
      <c r="O68" s="11" t="n">
        <v>141.94</v>
      </c>
      <c r="P68" s="6">
        <f>SUM(G68:O68)</f>
        <v/>
      </c>
      <c r="Q68" s="11" t="n">
        <v>0</v>
      </c>
      <c r="R68" s="11" t="n">
        <v>0</v>
      </c>
    </row>
    <row r="69">
      <c r="A69" s="9" t="n">
        <v>65</v>
      </c>
      <c r="B69" s="4" t="inlineStr">
        <is>
          <t>Walworth County</t>
        </is>
      </c>
      <c r="C69" s="4" t="inlineStr">
        <is>
          <t>55127</t>
        </is>
      </c>
      <c r="D69" s="9" t="n">
        <v>42.66811</v>
      </c>
      <c r="E69" s="9" t="n">
        <v>-88.541731</v>
      </c>
      <c r="F69" s="9" t="n">
        <v>555.4</v>
      </c>
      <c r="G69" s="9" t="n">
        <v>186689</v>
      </c>
      <c r="H69" s="9" t="n">
        <v>3066</v>
      </c>
      <c r="I69" s="9" t="n">
        <v>0</v>
      </c>
      <c r="J69" s="9" t="n">
        <v>1066</v>
      </c>
      <c r="K69" s="9" t="n">
        <v>0</v>
      </c>
      <c r="L69" s="9" t="n">
        <v>1319.3</v>
      </c>
      <c r="M69" s="9" t="n">
        <v>1452.3</v>
      </c>
      <c r="N69" s="9" t="n">
        <v>0</v>
      </c>
      <c r="O69" s="9" t="n">
        <v>0</v>
      </c>
      <c r="P69" s="4">
        <f>SUM(G69:O69)</f>
        <v/>
      </c>
      <c r="Q69" s="10" t="n">
        <v>2923.570103999999</v>
      </c>
      <c r="R69" s="10" t="n">
        <v>25.2441462</v>
      </c>
    </row>
    <row r="70">
      <c r="A70" s="11" t="n">
        <v>66</v>
      </c>
      <c r="B70" s="6" t="inlineStr">
        <is>
          <t>Washburn County</t>
        </is>
      </c>
      <c r="C70" s="6" t="inlineStr">
        <is>
          <t>55129</t>
        </is>
      </c>
      <c r="D70" s="11" t="n">
        <v>45.892489</v>
      </c>
      <c r="E70" s="11" t="n">
        <v>-91.79642200000001</v>
      </c>
      <c r="F70" s="11" t="n">
        <v>797.1</v>
      </c>
      <c r="G70" s="11" t="n">
        <v>14425</v>
      </c>
      <c r="H70" s="11" t="n">
        <v>22951</v>
      </c>
      <c r="I70" s="11" t="n">
        <v>0</v>
      </c>
      <c r="J70" s="11" t="n">
        <v>0</v>
      </c>
      <c r="K70" s="11" t="n">
        <v>0</v>
      </c>
      <c r="L70" s="11" t="n">
        <v>12872.5</v>
      </c>
      <c r="M70" s="11" t="n">
        <v>10445.3</v>
      </c>
      <c r="N70" s="11" t="n">
        <v>34.1</v>
      </c>
      <c r="O70" s="11" t="n">
        <v>0</v>
      </c>
      <c r="P70" s="6">
        <f>SUM(G70:O70)</f>
        <v/>
      </c>
      <c r="Q70" s="12" t="n">
        <v>112.394191</v>
      </c>
      <c r="R70" s="12" t="n">
        <v>122.74081365</v>
      </c>
    </row>
    <row r="71">
      <c r="A71" s="9" t="n">
        <v>67</v>
      </c>
      <c r="B71" s="4" t="inlineStr">
        <is>
          <t>Washington County</t>
        </is>
      </c>
      <c r="C71" s="4" t="inlineStr">
        <is>
          <t>55131</t>
        </is>
      </c>
      <c r="D71" s="9" t="n">
        <v>43.391156</v>
      </c>
      <c r="E71" s="9" t="n">
        <v>-88.232917</v>
      </c>
      <c r="F71" s="9" t="n">
        <v>430.6</v>
      </c>
      <c r="G71" s="9" t="n">
        <v>112741</v>
      </c>
      <c r="H71" s="9" t="n">
        <v>2153</v>
      </c>
      <c r="I71" s="9" t="n">
        <v>0</v>
      </c>
      <c r="J71" s="9" t="n">
        <v>766</v>
      </c>
      <c r="K71" s="9" t="n">
        <v>0</v>
      </c>
      <c r="L71" s="9" t="n">
        <v>912.1999999999999</v>
      </c>
      <c r="M71" s="9" t="n">
        <v>992.1</v>
      </c>
      <c r="N71" s="9" t="n">
        <v>0</v>
      </c>
      <c r="O71" s="9" t="n">
        <v>0</v>
      </c>
      <c r="P71" s="4">
        <f>SUM(G71:O71)</f>
        <v/>
      </c>
      <c r="Q71" s="10" t="n">
        <v>3970.463679</v>
      </c>
      <c r="R71" s="10" t="n">
        <v>686.9238885599999</v>
      </c>
    </row>
    <row r="72">
      <c r="A72" s="11" t="n">
        <v>68</v>
      </c>
      <c r="B72" s="6" t="inlineStr">
        <is>
          <t>Waukesha County</t>
        </is>
      </c>
      <c r="C72" s="6" t="inlineStr">
        <is>
          <t>55133</t>
        </is>
      </c>
      <c r="D72" s="11" t="n">
        <v>43.018368</v>
      </c>
      <c r="E72" s="11" t="n">
        <v>-88.30423999999999</v>
      </c>
      <c r="F72" s="11" t="n">
        <v>549.7</v>
      </c>
      <c r="G72" s="11" t="n">
        <v>49093</v>
      </c>
      <c r="H72" s="11" t="n">
        <v>1074</v>
      </c>
      <c r="I72" s="11" t="n">
        <v>0</v>
      </c>
      <c r="J72" s="11" t="n">
        <v>330</v>
      </c>
      <c r="K72" s="11" t="n">
        <v>0</v>
      </c>
      <c r="L72" s="11" t="n">
        <v>1352.8</v>
      </c>
      <c r="M72" s="11" t="n">
        <v>1476.2</v>
      </c>
      <c r="N72" s="11" t="n">
        <v>0</v>
      </c>
      <c r="O72" s="11" t="n">
        <v>0</v>
      </c>
      <c r="P72" s="6">
        <f>SUM(G72:O72)</f>
        <v/>
      </c>
      <c r="Q72" s="12" t="n">
        <v>1238.198689</v>
      </c>
      <c r="R72" s="12" t="n">
        <v>30.96536625</v>
      </c>
    </row>
    <row r="73">
      <c r="A73" s="9" t="n">
        <v>69</v>
      </c>
      <c r="B73" s="4" t="inlineStr">
        <is>
          <t>Waupaca County</t>
        </is>
      </c>
      <c r="C73" s="4" t="inlineStr">
        <is>
          <t>55135</t>
        </is>
      </c>
      <c r="D73" s="9" t="n">
        <v>44.478004</v>
      </c>
      <c r="E73" s="9" t="n">
        <v>-88.967005</v>
      </c>
      <c r="F73" s="9" t="n">
        <v>747.7</v>
      </c>
      <c r="G73" s="9" t="n">
        <v>171122</v>
      </c>
      <c r="H73" s="9" t="n">
        <v>28470</v>
      </c>
      <c r="I73" s="9" t="n">
        <v>0</v>
      </c>
      <c r="J73" s="9" t="n">
        <v>5901</v>
      </c>
      <c r="K73" s="9" t="n">
        <v>0</v>
      </c>
      <c r="L73" s="9" t="n">
        <v>3343.9</v>
      </c>
      <c r="M73" s="9" t="n">
        <v>0</v>
      </c>
      <c r="N73" s="9" t="n">
        <v>9.279999999999999</v>
      </c>
      <c r="O73" s="9" t="n">
        <v>2701.08</v>
      </c>
      <c r="P73" s="4">
        <f>SUM(G73:O73)</f>
        <v/>
      </c>
      <c r="Q73" s="10" t="n">
        <v>1971.007947999999</v>
      </c>
      <c r="R73" s="10" t="n">
        <v>100.911704985</v>
      </c>
    </row>
    <row r="74">
      <c r="A74" s="11" t="n">
        <v>70</v>
      </c>
      <c r="B74" s="6" t="inlineStr">
        <is>
          <t>Waushara County</t>
        </is>
      </c>
      <c r="C74" s="6" t="inlineStr">
        <is>
          <t>55137</t>
        </is>
      </c>
      <c r="D74" s="11" t="n">
        <v>44.112823</v>
      </c>
      <c r="E74" s="11" t="n">
        <v>-89.239786</v>
      </c>
      <c r="F74" s="11" t="n">
        <v>626.2</v>
      </c>
      <c r="G74" s="11" t="n">
        <v>136910</v>
      </c>
      <c r="H74" s="11" t="n">
        <v>5537</v>
      </c>
      <c r="I74" s="11" t="n">
        <v>0</v>
      </c>
      <c r="J74" s="11" t="n">
        <v>5500</v>
      </c>
      <c r="K74" s="11" t="n">
        <v>0</v>
      </c>
      <c r="L74" s="11" t="n">
        <v>4010.5</v>
      </c>
      <c r="M74" s="11" t="n">
        <v>0</v>
      </c>
      <c r="N74" s="11" t="n">
        <v>0</v>
      </c>
      <c r="O74" s="11" t="n">
        <v>6015.68</v>
      </c>
      <c r="P74" s="6">
        <f>SUM(G74:O74)</f>
        <v/>
      </c>
      <c r="Q74" s="12" t="n">
        <v>1149.942339</v>
      </c>
      <c r="R74" s="12" t="n">
        <v>72.05198364</v>
      </c>
    </row>
    <row r="75">
      <c r="A75" s="9" t="n">
        <v>71</v>
      </c>
      <c r="B75" s="4" t="inlineStr">
        <is>
          <t>Winnebago County</t>
        </is>
      </c>
      <c r="C75" s="4" t="inlineStr">
        <is>
          <t>55139</t>
        </is>
      </c>
      <c r="D75" s="9" t="n">
        <v>44.085707</v>
      </c>
      <c r="E75" s="9" t="n">
        <v>-88.668149</v>
      </c>
      <c r="F75" s="9" t="n">
        <v>434.7</v>
      </c>
      <c r="G75" s="9" t="n">
        <v>194942</v>
      </c>
      <c r="H75" s="9" t="n">
        <v>10999</v>
      </c>
      <c r="I75" s="9" t="n">
        <v>0</v>
      </c>
      <c r="J75" s="9" t="n">
        <v>2160</v>
      </c>
      <c r="K75" s="9" t="n">
        <v>409</v>
      </c>
      <c r="L75" s="9" t="n">
        <v>3744.8</v>
      </c>
      <c r="M75" s="9" t="n">
        <v>2143.8</v>
      </c>
      <c r="N75" s="9" t="n">
        <v>0</v>
      </c>
      <c r="O75" s="9" t="n">
        <v>0</v>
      </c>
      <c r="P75" s="4">
        <f>SUM(G75:O75)</f>
        <v/>
      </c>
      <c r="Q75" s="10" t="n">
        <v>6352.941139999999</v>
      </c>
      <c r="R75" s="10" t="n">
        <v>57.064746375</v>
      </c>
    </row>
    <row r="76">
      <c r="A76" s="11" t="n">
        <v>72</v>
      </c>
      <c r="B76" s="6" t="inlineStr">
        <is>
          <t>Wood County</t>
        </is>
      </c>
      <c r="C76" s="6" t="inlineStr">
        <is>
          <t>55141</t>
        </is>
      </c>
      <c r="D76" s="11" t="n">
        <v>44.461413</v>
      </c>
      <c r="E76" s="11" t="n">
        <v>-90.038825</v>
      </c>
      <c r="F76" s="11" t="n">
        <v>793</v>
      </c>
      <c r="G76" s="11" t="n">
        <v>95445</v>
      </c>
      <c r="H76" s="11" t="n">
        <v>33529</v>
      </c>
      <c r="I76" s="11" t="n">
        <v>0</v>
      </c>
      <c r="J76" s="11" t="n">
        <v>5949</v>
      </c>
      <c r="K76" s="11" t="n">
        <v>1533</v>
      </c>
      <c r="L76" s="11" t="n">
        <v>4658.799999999999</v>
      </c>
      <c r="M76" s="11" t="n">
        <v>46.6</v>
      </c>
      <c r="N76" s="11" t="n">
        <v>9125.299999999999</v>
      </c>
      <c r="O76" s="11" t="n">
        <v>0</v>
      </c>
      <c r="P76" s="6">
        <f>SUM(G76:O76)</f>
        <v/>
      </c>
      <c r="Q76" s="12" t="n">
        <v>2832.140857</v>
      </c>
      <c r="R76" s="12" t="n">
        <v>122.64644301</v>
      </c>
    </row>
    <row r="77" ht="15" customHeight="1" s="22">
      <c r="A77" s="13" t="inlineStr">
        <is>
          <t>TOTAL</t>
        </is>
      </c>
      <c r="P77" s="14">
        <f>SUM(G5:O76)</f>
        <v/>
      </c>
      <c r="Q77" s="14" t="n"/>
      <c r="R77" s="14" t="n"/>
    </row>
  </sheetData>
  <mergeCells count="2">
    <mergeCell ref="A2:R2"/>
    <mergeCell ref="A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topLeftCell="A22" workbookViewId="0">
      <selection activeCell="A2" sqref="A2:L2"/>
    </sheetView>
  </sheetViews>
  <sheetFormatPr baseColWidth="8" defaultRowHeight="14.4"/>
  <sheetData>
    <row r="1" ht="18" customHeight="1" s="22">
      <c r="A1" s="27" t="inlineStr">
        <is>
          <t>NASS 2022 CENSUS — Residue Estimates — VALIDATION ONLY</t>
        </is>
      </c>
    </row>
    <row r="2">
      <c r="A2" s="26" t="inlineStr">
        <is>
          <t>2026-06-20: Now uses CENSUS only. Corn corrected 3.91 Mt; Soy 0.77 Mt; Oats 27 kdt. USE SHEET 01 FOR MODELING.</t>
        </is>
      </c>
    </row>
    <row r="4" ht="41.4" customHeight="1" s="22">
      <c r="A4" s="3" t="inlineStr">
        <is>
          <t>n_id</t>
        </is>
      </c>
      <c r="B4" s="3" t="inlineStr">
        <is>
          <t>County</t>
        </is>
      </c>
      <c r="C4" s="3" t="inlineStr">
        <is>
          <t>FIPS</t>
        </is>
      </c>
      <c r="D4" s="3" t="inlineStr">
        <is>
          <t>LAT</t>
        </is>
      </c>
      <c r="E4" s="3" t="inlineStr">
        <is>
          <t>LON</t>
        </is>
      </c>
      <c r="F4" s="3" t="inlineStr">
        <is>
          <t>NASS_Corn_CENSUS_dt</t>
        </is>
      </c>
      <c r="G4" s="3" t="inlineStr">
        <is>
          <t>NASS_Soy_CENSUS_dt</t>
        </is>
      </c>
      <c r="H4" s="3" t="inlineStr">
        <is>
          <t>NASS_Wheat_dt</t>
        </is>
      </c>
      <c r="I4" s="3" t="inlineStr">
        <is>
          <t>NASS_Oats_CENSUS_dt</t>
        </is>
      </c>
      <c r="J4" s="3" t="inlineStr">
        <is>
          <t>NASS_Barley_dt</t>
        </is>
      </c>
      <c r="K4" s="3" t="inlineStr">
        <is>
          <t>NASS_Corn_Prod_CENSUS_bu</t>
        </is>
      </c>
      <c r="L4" s="3" t="inlineStr">
        <is>
          <t>NASS_Soy_Prod_CENSUS_bu</t>
        </is>
      </c>
    </row>
    <row r="5" ht="27.6" customHeight="1" s="22">
      <c r="A5" s="9" t="n">
        <v>1</v>
      </c>
      <c r="B5" s="4" t="inlineStr">
        <is>
          <t>Adams County</t>
        </is>
      </c>
      <c r="C5" s="4" t="inlineStr">
        <is>
          <t>55001</t>
        </is>
      </c>
      <c r="D5" s="9" t="n">
        <v>43.973757</v>
      </c>
      <c r="E5" s="4" t="n">
        <v>-89.767228</v>
      </c>
      <c r="F5" s="9" t="n">
        <v>20136.3</v>
      </c>
      <c r="G5" s="9" t="n">
        <v>3381.1</v>
      </c>
      <c r="H5" s="9" t="n">
        <v>404.1</v>
      </c>
      <c r="I5" s="9" t="n">
        <v>59.3</v>
      </c>
      <c r="J5" s="4" t="n">
        <v>0</v>
      </c>
      <c r="K5" s="9" t="n">
        <v>2745517</v>
      </c>
      <c r="L5" s="9" t="n">
        <v>481803</v>
      </c>
    </row>
    <row r="6" ht="27.6" customHeight="1" s="22">
      <c r="A6" s="11" t="n">
        <v>2</v>
      </c>
      <c r="B6" s="6" t="inlineStr">
        <is>
          <t>Ashland County</t>
        </is>
      </c>
      <c r="C6" s="6" t="inlineStr">
        <is>
          <t>55003</t>
        </is>
      </c>
      <c r="D6" s="11" t="n">
        <v>46.544424</v>
      </c>
      <c r="E6" s="6" t="n">
        <v>-90.67969100000001</v>
      </c>
      <c r="F6" s="11" t="n">
        <v>1401.8</v>
      </c>
      <c r="G6" s="11" t="n">
        <v>248.9</v>
      </c>
      <c r="H6" s="6" t="n">
        <v>0</v>
      </c>
      <c r="I6" s="11" t="n">
        <v>76.09999999999999</v>
      </c>
      <c r="J6" s="6" t="n">
        <v>0</v>
      </c>
      <c r="K6" s="11" t="n">
        <v>191127</v>
      </c>
      <c r="L6" s="11" t="n">
        <v>35467</v>
      </c>
    </row>
    <row r="7" ht="27.6" customHeight="1" s="22">
      <c r="A7" s="9" t="n">
        <v>3</v>
      </c>
      <c r="B7" s="4" t="inlineStr">
        <is>
          <t>Barron County</t>
        </is>
      </c>
      <c r="C7" s="4" t="inlineStr">
        <is>
          <t>55005</t>
        </is>
      </c>
      <c r="D7" s="9" t="n">
        <v>45.437192</v>
      </c>
      <c r="E7" s="4" t="n">
        <v>-91.852892</v>
      </c>
      <c r="F7" s="9" t="n">
        <v>73029.39999999999</v>
      </c>
      <c r="G7" s="9" t="n">
        <v>13159.6</v>
      </c>
      <c r="H7" s="9" t="n">
        <v>2618.4</v>
      </c>
      <c r="I7" s="9" t="n">
        <v>184.1</v>
      </c>
      <c r="J7" s="4" t="n">
        <v>0</v>
      </c>
      <c r="K7" s="9" t="n">
        <v>9957306</v>
      </c>
      <c r="L7" s="9" t="n">
        <v>1875221</v>
      </c>
    </row>
    <row r="8" ht="27.6" customHeight="1" s="22">
      <c r="A8" s="11" t="n">
        <v>4</v>
      </c>
      <c r="B8" s="6" t="inlineStr">
        <is>
          <t>Bayfield County</t>
        </is>
      </c>
      <c r="C8" s="6" t="inlineStr">
        <is>
          <t>55007</t>
        </is>
      </c>
      <c r="D8" s="11" t="n">
        <v>46.634199</v>
      </c>
      <c r="E8" s="6" t="n">
        <v>-91.17728200000001</v>
      </c>
      <c r="F8" s="11" t="n">
        <v>1614.4</v>
      </c>
      <c r="G8" s="11" t="n">
        <v>488.4</v>
      </c>
      <c r="H8" s="11" t="n">
        <v>648.1</v>
      </c>
      <c r="I8" s="6" t="n">
        <v>0</v>
      </c>
      <c r="J8" s="6" t="n">
        <v>0</v>
      </c>
      <c r="K8" s="11" t="n">
        <v>220118</v>
      </c>
      <c r="L8" s="11" t="n">
        <v>69592</v>
      </c>
    </row>
    <row r="9" ht="27.6" customHeight="1" s="22">
      <c r="A9" s="9" t="n">
        <v>5</v>
      </c>
      <c r="B9" s="4" t="inlineStr">
        <is>
          <t>Brown County</t>
        </is>
      </c>
      <c r="C9" s="4" t="inlineStr">
        <is>
          <t>55009</t>
        </is>
      </c>
      <c r="D9" s="9" t="n">
        <v>44.474024</v>
      </c>
      <c r="E9" s="4" t="n">
        <v>-87.99612999999999</v>
      </c>
      <c r="F9" s="9" t="n">
        <v>37247.9</v>
      </c>
      <c r="G9" s="9" t="n">
        <v>8372.9</v>
      </c>
      <c r="H9" s="9" t="n">
        <v>8802.299999999999</v>
      </c>
      <c r="I9" s="9" t="n">
        <v>737.6</v>
      </c>
      <c r="J9" s="9" t="n">
        <v>26.2</v>
      </c>
      <c r="K9" s="9" t="n">
        <v>5078622</v>
      </c>
      <c r="L9" s="9" t="n">
        <v>1193134</v>
      </c>
    </row>
    <row r="10" ht="27.6" customHeight="1" s="22">
      <c r="A10" s="11" t="n">
        <v>6</v>
      </c>
      <c r="B10" s="6" t="inlineStr">
        <is>
          <t>Buffalo County</t>
        </is>
      </c>
      <c r="C10" s="6" t="inlineStr">
        <is>
          <t>55011</t>
        </is>
      </c>
      <c r="D10" s="11" t="n">
        <v>44.385633</v>
      </c>
      <c r="E10" s="6" t="n">
        <v>-91.76129400000001</v>
      </c>
      <c r="F10" s="11" t="n">
        <v>85875.8</v>
      </c>
      <c r="G10" s="11" t="n">
        <v>12346.7</v>
      </c>
      <c r="H10" s="11" t="n">
        <v>400.1</v>
      </c>
      <c r="I10" s="11" t="n">
        <v>360.1</v>
      </c>
      <c r="J10" s="11" t="n">
        <v>40.7</v>
      </c>
      <c r="K10" s="11" t="n">
        <v>11708872</v>
      </c>
      <c r="L10" s="11" t="n">
        <v>1759389</v>
      </c>
    </row>
    <row r="11" ht="27.6" customHeight="1" s="22">
      <c r="A11" s="9" t="n">
        <v>7</v>
      </c>
      <c r="B11" s="4" t="inlineStr">
        <is>
          <t>Burnett County</t>
        </is>
      </c>
      <c r="C11" s="4" t="inlineStr">
        <is>
          <t>55013</t>
        </is>
      </c>
      <c r="D11" s="9" t="n">
        <v>45.866897</v>
      </c>
      <c r="E11" s="4" t="n">
        <v>-92.37573</v>
      </c>
      <c r="F11" s="9" t="n">
        <v>13804.9</v>
      </c>
      <c r="G11" s="9" t="n">
        <v>2405</v>
      </c>
      <c r="H11" s="9" t="n">
        <v>93.8</v>
      </c>
      <c r="I11" s="9" t="n">
        <v>240.6</v>
      </c>
      <c r="J11" s="4" t="n">
        <v>0</v>
      </c>
      <c r="K11" s="9" t="n">
        <v>1882246</v>
      </c>
      <c r="L11" s="9" t="n">
        <v>342708</v>
      </c>
    </row>
    <row r="12" ht="27.6" customHeight="1" s="22">
      <c r="A12" s="11" t="n">
        <v>8</v>
      </c>
      <c r="B12" s="6" t="inlineStr">
        <is>
          <t>Calumet County</t>
        </is>
      </c>
      <c r="C12" s="6" t="inlineStr">
        <is>
          <t>55015</t>
        </is>
      </c>
      <c r="D12" s="11" t="n">
        <v>44.07841</v>
      </c>
      <c r="E12" s="6" t="n">
        <v>-88.212132</v>
      </c>
      <c r="F12" s="11" t="n">
        <v>31617.2</v>
      </c>
      <c r="G12" s="11" t="n">
        <v>9299.299999999999</v>
      </c>
      <c r="H12" s="11" t="n">
        <v>7982.3</v>
      </c>
      <c r="I12" s="11" t="n">
        <v>252.6</v>
      </c>
      <c r="J12" s="6" t="n">
        <v>0</v>
      </c>
      <c r="K12" s="11" t="n">
        <v>4310897</v>
      </c>
      <c r="L12" s="11" t="n">
        <v>1325141</v>
      </c>
    </row>
    <row r="13" ht="27.6" customHeight="1" s="22">
      <c r="A13" s="9" t="n">
        <v>9</v>
      </c>
      <c r="B13" s="4" t="inlineStr">
        <is>
          <t>Chippewa County</t>
        </is>
      </c>
      <c r="C13" s="4" t="inlineStr">
        <is>
          <t>55017</t>
        </is>
      </c>
      <c r="D13" s="9" t="n">
        <v>45.069092</v>
      </c>
      <c r="E13" s="4" t="n">
        <v>-91.28350500000001</v>
      </c>
      <c r="F13" s="9" t="n">
        <v>88468.2</v>
      </c>
      <c r="G13" s="9" t="n">
        <v>17153.4</v>
      </c>
      <c r="H13" s="9" t="n">
        <v>1356.8</v>
      </c>
      <c r="I13" s="9" t="n">
        <v>331.3</v>
      </c>
      <c r="J13" s="9" t="n">
        <v>202</v>
      </c>
      <c r="K13" s="9" t="n">
        <v>12062332</v>
      </c>
      <c r="L13" s="9" t="n">
        <v>2444347</v>
      </c>
    </row>
    <row r="14" ht="27.6" customHeight="1" s="22">
      <c r="A14" s="11" t="n">
        <v>10</v>
      </c>
      <c r="B14" s="6" t="inlineStr">
        <is>
          <t>Clark County</t>
        </is>
      </c>
      <c r="C14" s="6" t="inlineStr">
        <is>
          <t>55019</t>
        </is>
      </c>
      <c r="D14" s="11" t="n">
        <v>44.739346</v>
      </c>
      <c r="E14" s="6" t="n">
        <v>-90.609953</v>
      </c>
      <c r="F14" s="11" t="n">
        <v>79055.8</v>
      </c>
      <c r="G14" s="11" t="n">
        <v>19370.4</v>
      </c>
      <c r="H14" s="11" t="n">
        <v>2432.8</v>
      </c>
      <c r="I14" s="11" t="n">
        <v>1183.3</v>
      </c>
      <c r="J14" s="11" t="n">
        <v>60.8</v>
      </c>
      <c r="K14" s="11" t="n">
        <v>10778991</v>
      </c>
      <c r="L14" s="11" t="n">
        <v>2760257</v>
      </c>
    </row>
    <row r="15" ht="27.6" customHeight="1" s="22">
      <c r="A15" s="9" t="n">
        <v>11</v>
      </c>
      <c r="B15" s="4" t="inlineStr">
        <is>
          <t>Columbia County</t>
        </is>
      </c>
      <c r="C15" s="4" t="inlineStr">
        <is>
          <t>55021</t>
        </is>
      </c>
      <c r="D15" s="9" t="n">
        <v>43.471882</v>
      </c>
      <c r="E15" s="4" t="n">
        <v>-89.330472</v>
      </c>
      <c r="F15" s="9" t="n">
        <v>149253.8</v>
      </c>
      <c r="G15" s="9" t="n">
        <v>21088.2</v>
      </c>
      <c r="H15" s="9" t="n">
        <v>5758.3</v>
      </c>
      <c r="I15" s="9" t="n">
        <v>173.2</v>
      </c>
      <c r="J15" s="4" t="n">
        <v>0</v>
      </c>
      <c r="K15" s="9" t="n">
        <v>20350251</v>
      </c>
      <c r="L15" s="9" t="n">
        <v>3005040</v>
      </c>
    </row>
    <row r="16" ht="27.6" customHeight="1" s="22">
      <c r="A16" s="11" t="n">
        <v>12</v>
      </c>
      <c r="B16" s="6" t="inlineStr">
        <is>
          <t>Crawford County</t>
        </is>
      </c>
      <c r="C16" s="6" t="inlineStr">
        <is>
          <t>55023</t>
        </is>
      </c>
      <c r="D16" s="11" t="n">
        <v>43.242768</v>
      </c>
      <c r="E16" s="6" t="n">
        <v>-90.935185</v>
      </c>
      <c r="F16" s="11" t="n">
        <v>34532.8</v>
      </c>
      <c r="G16" s="11" t="n">
        <v>6210.4</v>
      </c>
      <c r="H16" s="11" t="n">
        <v>889.8</v>
      </c>
      <c r="I16" s="11" t="n">
        <v>182.2</v>
      </c>
      <c r="J16" s="11" t="n">
        <v>6.2</v>
      </c>
      <c r="K16" s="11" t="n">
        <v>4708427</v>
      </c>
      <c r="L16" s="11" t="n">
        <v>884971</v>
      </c>
    </row>
    <row r="17" ht="27.6" customHeight="1" s="22">
      <c r="A17" s="9" t="n">
        <v>13</v>
      </c>
      <c r="B17" s="4" t="inlineStr">
        <is>
          <t>Dane County</t>
        </is>
      </c>
      <c r="C17" s="4" t="inlineStr">
        <is>
          <t>55025</t>
        </is>
      </c>
      <c r="D17" s="9" t="n">
        <v>43.067468</v>
      </c>
      <c r="E17" s="4" t="n">
        <v>-89.417852</v>
      </c>
      <c r="F17" s="9" t="n">
        <v>218223.1</v>
      </c>
      <c r="G17" s="9" t="n">
        <v>36314.4</v>
      </c>
      <c r="H17" s="9" t="n">
        <v>9155.6</v>
      </c>
      <c r="I17" s="9" t="n">
        <v>125.4</v>
      </c>
      <c r="J17" s="9" t="n">
        <v>31.7</v>
      </c>
      <c r="K17" s="9" t="n">
        <v>29753982</v>
      </c>
      <c r="L17" s="9" t="n">
        <v>5174756</v>
      </c>
    </row>
    <row r="18" ht="27.6" customHeight="1" s="22">
      <c r="A18" s="11" t="n">
        <v>14</v>
      </c>
      <c r="B18" s="6" t="inlineStr">
        <is>
          <t>Dodge County</t>
        </is>
      </c>
      <c r="C18" s="6" t="inlineStr">
        <is>
          <t>55027</t>
        </is>
      </c>
      <c r="D18" s="11" t="n">
        <v>43.429628</v>
      </c>
      <c r="E18" s="6" t="n">
        <v>-88.701939</v>
      </c>
      <c r="F18" s="11" t="n">
        <v>161129.4</v>
      </c>
      <c r="G18" s="11" t="n">
        <v>35347.9</v>
      </c>
      <c r="H18" s="11" t="n">
        <v>13940.1</v>
      </c>
      <c r="I18" s="11" t="n">
        <v>444.2</v>
      </c>
      <c r="J18" s="11" t="n">
        <v>69.8</v>
      </c>
      <c r="K18" s="11" t="n">
        <v>21969438</v>
      </c>
      <c r="L18" s="11" t="n">
        <v>5037034</v>
      </c>
    </row>
    <row r="19" ht="27.6" customHeight="1" s="22">
      <c r="A19" s="9" t="n">
        <v>15</v>
      </c>
      <c r="B19" s="4" t="inlineStr">
        <is>
          <t>Door County</t>
        </is>
      </c>
      <c r="C19" s="4" t="inlineStr">
        <is>
          <t>55029</t>
        </is>
      </c>
      <c r="D19" s="9" t="n">
        <v>45.093417</v>
      </c>
      <c r="E19" s="4" t="n">
        <v>-87.048683</v>
      </c>
      <c r="F19" s="9" t="n">
        <v>18206.4</v>
      </c>
      <c r="G19" s="9" t="n">
        <v>4850.2</v>
      </c>
      <c r="H19" s="9" t="n">
        <v>7135.4</v>
      </c>
      <c r="I19" s="9" t="n">
        <v>934.6</v>
      </c>
      <c r="J19" s="9" t="n">
        <v>14.3</v>
      </c>
      <c r="K19" s="9" t="n">
        <v>2482377</v>
      </c>
      <c r="L19" s="9" t="n">
        <v>691153</v>
      </c>
    </row>
    <row r="20" ht="27.6" customHeight="1" s="22">
      <c r="A20" s="11" t="n">
        <v>16</v>
      </c>
      <c r="B20" s="6" t="inlineStr">
        <is>
          <t>Douglas County</t>
        </is>
      </c>
      <c r="C20" s="6" t="inlineStr">
        <is>
          <t>55031</t>
        </is>
      </c>
      <c r="D20" s="11" t="n">
        <v>46.463218</v>
      </c>
      <c r="E20" s="6" t="n">
        <v>-91.892477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</row>
    <row r="21" ht="27.6" customHeight="1" s="22">
      <c r="A21" s="9" t="n">
        <v>17</v>
      </c>
      <c r="B21" s="4" t="inlineStr">
        <is>
          <t>Dunn County</t>
        </is>
      </c>
      <c r="C21" s="4" t="inlineStr">
        <is>
          <t>55033</t>
        </is>
      </c>
      <c r="D21" s="9" t="n">
        <v>44.947751</v>
      </c>
      <c r="E21" s="4" t="n">
        <v>-91.897645</v>
      </c>
      <c r="F21" s="9" t="n">
        <v>117999.2</v>
      </c>
      <c r="G21" s="9" t="n">
        <v>23749.2</v>
      </c>
      <c r="H21" s="9" t="n">
        <v>201.9</v>
      </c>
      <c r="I21" s="9" t="n">
        <v>355.2</v>
      </c>
      <c r="J21" s="9" t="n">
        <v>35.7</v>
      </c>
      <c r="K21" s="9" t="n">
        <v>16088794</v>
      </c>
      <c r="L21" s="9" t="n">
        <v>3384240</v>
      </c>
    </row>
    <row r="22" ht="27.6" customHeight="1" s="22">
      <c r="A22" s="11" t="n">
        <v>18</v>
      </c>
      <c r="B22" s="6" t="inlineStr">
        <is>
          <t>Eau Claire County</t>
        </is>
      </c>
      <c r="C22" s="6" t="inlineStr">
        <is>
          <t>55035</t>
        </is>
      </c>
      <c r="D22" s="11" t="n">
        <v>44.726355</v>
      </c>
      <c r="E22" s="6" t="n">
        <v>-91.28641399999999</v>
      </c>
      <c r="F22" s="11" t="n">
        <v>45058.5</v>
      </c>
      <c r="G22" s="11" t="n">
        <v>7530.6</v>
      </c>
      <c r="H22" s="11" t="n">
        <v>177.7</v>
      </c>
      <c r="I22" s="11" t="n">
        <v>197.6</v>
      </c>
      <c r="J22" s="6" t="n">
        <v>0</v>
      </c>
      <c r="K22" s="11" t="n">
        <v>6143576</v>
      </c>
      <c r="L22" s="11" t="n">
        <v>1073107</v>
      </c>
    </row>
    <row r="23" ht="27.6" customHeight="1" s="22">
      <c r="A23" s="9" t="n">
        <v>19</v>
      </c>
      <c r="B23" s="4" t="inlineStr">
        <is>
          <t>Florence County</t>
        </is>
      </c>
      <c r="C23" s="4" t="inlineStr">
        <is>
          <t>55037</t>
        </is>
      </c>
      <c r="D23" s="9" t="n">
        <v>45.871828</v>
      </c>
      <c r="E23" s="4" t="n">
        <v>-88.406988</v>
      </c>
      <c r="F23" s="9" t="n">
        <v>21.6</v>
      </c>
      <c r="G23" s="4" t="n">
        <v>0</v>
      </c>
      <c r="H23" s="4" t="n">
        <v>0</v>
      </c>
      <c r="I23" s="9" t="n">
        <v>114.4</v>
      </c>
      <c r="J23" s="4" t="n">
        <v>0</v>
      </c>
      <c r="K23" s="9" t="n">
        <v>2944</v>
      </c>
      <c r="L23" s="4" t="n">
        <v>0</v>
      </c>
    </row>
    <row r="24" ht="41.4" customHeight="1" s="22">
      <c r="A24" s="11" t="n">
        <v>20</v>
      </c>
      <c r="B24" s="6" t="inlineStr">
        <is>
          <t>Fond du Lac County</t>
        </is>
      </c>
      <c r="C24" s="6" t="inlineStr">
        <is>
          <t>55039</t>
        </is>
      </c>
      <c r="D24" s="11" t="n">
        <v>43.754722</v>
      </c>
      <c r="E24" s="6" t="n">
        <v>-88.493284</v>
      </c>
      <c r="F24" s="11" t="n">
        <v>103702</v>
      </c>
      <c r="G24" s="11" t="n">
        <v>22569.8</v>
      </c>
      <c r="H24" s="11" t="n">
        <v>14647.4</v>
      </c>
      <c r="I24" s="11" t="n">
        <v>215.7</v>
      </c>
      <c r="J24" s="6" t="n">
        <v>0</v>
      </c>
      <c r="K24" s="11" t="n">
        <v>14139409</v>
      </c>
      <c r="L24" s="11" t="n">
        <v>3216172</v>
      </c>
    </row>
    <row r="25" ht="27.6" customHeight="1" s="22">
      <c r="A25" s="9" t="n">
        <v>21</v>
      </c>
      <c r="B25" s="4" t="inlineStr">
        <is>
          <t>Forest County</t>
        </is>
      </c>
      <c r="C25" s="4" t="inlineStr">
        <is>
          <t>55041</t>
        </is>
      </c>
      <c r="D25" s="9" t="n">
        <v>45.666881</v>
      </c>
      <c r="E25" s="4" t="n">
        <v>-88.773326</v>
      </c>
      <c r="F25" s="9" t="n">
        <v>707.2</v>
      </c>
      <c r="G25" s="9" t="n">
        <v>82.5</v>
      </c>
      <c r="H25" s="4" t="n">
        <v>0</v>
      </c>
      <c r="I25" s="9" t="n">
        <v>164</v>
      </c>
      <c r="J25" s="4" t="n">
        <v>0</v>
      </c>
      <c r="K25" s="9" t="n">
        <v>96420</v>
      </c>
      <c r="L25" s="9" t="n">
        <v>11750</v>
      </c>
    </row>
    <row r="26" ht="27.6" customHeight="1" s="22">
      <c r="A26" s="11" t="n">
        <v>22</v>
      </c>
      <c r="B26" s="6" t="inlineStr">
        <is>
          <t>Grant County</t>
        </is>
      </c>
      <c r="C26" s="6" t="inlineStr">
        <is>
          <t>55043</t>
        </is>
      </c>
      <c r="D26" s="11" t="n">
        <v>42.870028</v>
      </c>
      <c r="E26" s="6" t="n">
        <v>-90.69422900000001</v>
      </c>
      <c r="F26" s="11" t="n">
        <v>194978.6</v>
      </c>
      <c r="G26" s="11" t="n">
        <v>36074.6</v>
      </c>
      <c r="H26" s="11" t="n">
        <v>2880.4</v>
      </c>
      <c r="I26" s="11" t="n">
        <v>997.6</v>
      </c>
      <c r="J26" s="11" t="n">
        <v>122.5</v>
      </c>
      <c r="K26" s="11" t="n">
        <v>26584664</v>
      </c>
      <c r="L26" s="11" t="n">
        <v>5140589</v>
      </c>
    </row>
    <row r="27" ht="27.6" customHeight="1" s="22">
      <c r="A27" s="9" t="n">
        <v>23</v>
      </c>
      <c r="B27" s="4" t="inlineStr">
        <is>
          <t>Green County</t>
        </is>
      </c>
      <c r="C27" s="4" t="inlineStr">
        <is>
          <t>55045</t>
        </is>
      </c>
      <c r="D27" s="9" t="n">
        <v>42.675522</v>
      </c>
      <c r="E27" s="4" t="n">
        <v>-89.605074</v>
      </c>
      <c r="F27" s="9" t="n">
        <v>116054.4</v>
      </c>
      <c r="G27" s="9" t="n">
        <v>25556.3</v>
      </c>
      <c r="H27" s="9" t="n">
        <v>4791.9</v>
      </c>
      <c r="I27" s="9" t="n">
        <v>288.5</v>
      </c>
      <c r="J27" s="4" t="n">
        <v>0</v>
      </c>
      <c r="K27" s="9" t="n">
        <v>15823620</v>
      </c>
      <c r="L27" s="9" t="n">
        <v>3641748</v>
      </c>
    </row>
    <row r="28" ht="41.4" customHeight="1" s="22">
      <c r="A28" s="11" t="n">
        <v>24</v>
      </c>
      <c r="B28" s="6" t="inlineStr">
        <is>
          <t>Green Lake County</t>
        </is>
      </c>
      <c r="C28" s="6" t="inlineStr">
        <is>
          <t>55047</t>
        </is>
      </c>
      <c r="D28" s="11" t="n">
        <v>43.780247</v>
      </c>
      <c r="E28" s="6" t="n">
        <v>-88.97038000000001</v>
      </c>
      <c r="F28" s="11" t="n">
        <v>50428.3</v>
      </c>
      <c r="G28" s="11" t="n">
        <v>6973.3</v>
      </c>
      <c r="H28" s="11" t="n">
        <v>3174.6</v>
      </c>
      <c r="I28" s="11" t="n">
        <v>237.6</v>
      </c>
      <c r="J28" s="11" t="n">
        <v>55.4</v>
      </c>
      <c r="K28" s="11" t="n">
        <v>6875724</v>
      </c>
      <c r="L28" s="11" t="n">
        <v>993694</v>
      </c>
    </row>
    <row r="29" ht="27.6" customHeight="1" s="22">
      <c r="A29" s="9" t="n">
        <v>25</v>
      </c>
      <c r="B29" s="4" t="inlineStr">
        <is>
          <t>Iowa County</t>
        </is>
      </c>
      <c r="C29" s="4" t="inlineStr">
        <is>
          <t>55049</t>
        </is>
      </c>
      <c r="D29" s="9" t="n">
        <v>43.001021</v>
      </c>
      <c r="E29" s="4" t="n">
        <v>-90.133691</v>
      </c>
      <c r="F29" s="9" t="n">
        <v>102523.6</v>
      </c>
      <c r="G29" s="9" t="n">
        <v>18843.6</v>
      </c>
      <c r="H29" s="9" t="n">
        <v>1682.7</v>
      </c>
      <c r="I29" s="9" t="n">
        <v>422.7</v>
      </c>
      <c r="J29" s="4" t="n">
        <v>0</v>
      </c>
      <c r="K29" s="9" t="n">
        <v>13978742</v>
      </c>
      <c r="L29" s="9" t="n">
        <v>2685193</v>
      </c>
    </row>
    <row r="30" ht="27.6" customHeight="1" s="22">
      <c r="A30" s="11" t="n">
        <v>26</v>
      </c>
      <c r="B30" s="6" t="inlineStr">
        <is>
          <t>Iron County</t>
        </is>
      </c>
      <c r="C30" s="6" t="inlineStr">
        <is>
          <t>55051</t>
        </is>
      </c>
      <c r="D30" s="11" t="n">
        <v>46.32655</v>
      </c>
      <c r="E30" s="6" t="n">
        <v>-90.261298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6" t="n">
        <v>0</v>
      </c>
      <c r="L30" s="6" t="n">
        <v>0</v>
      </c>
    </row>
    <row r="31" ht="27.6" customHeight="1" s="22">
      <c r="A31" s="9" t="n">
        <v>27</v>
      </c>
      <c r="B31" s="4" t="inlineStr">
        <is>
          <t>Jackson County</t>
        </is>
      </c>
      <c r="C31" s="4" t="inlineStr">
        <is>
          <t>55053</t>
        </is>
      </c>
      <c r="D31" s="9" t="n">
        <v>44.32459</v>
      </c>
      <c r="E31" s="4" t="n">
        <v>-90.79951</v>
      </c>
      <c r="F31" s="9" t="n">
        <v>52956.1</v>
      </c>
      <c r="G31" s="9" t="n">
        <v>9566.5</v>
      </c>
      <c r="H31" s="4" t="n">
        <v>0</v>
      </c>
      <c r="I31" s="9" t="n">
        <v>344.2</v>
      </c>
      <c r="J31" s="4" t="n">
        <v>0</v>
      </c>
      <c r="K31" s="9" t="n">
        <v>7220390</v>
      </c>
      <c r="L31" s="9" t="n">
        <v>1363209</v>
      </c>
    </row>
    <row r="32" ht="27.6" customHeight="1" s="22">
      <c r="A32" s="11" t="n">
        <v>28</v>
      </c>
      <c r="B32" s="6" t="inlineStr">
        <is>
          <t>Jefferson County</t>
        </is>
      </c>
      <c r="C32" s="6" t="inlineStr">
        <is>
          <t>55055</t>
        </is>
      </c>
      <c r="D32" s="11" t="n">
        <v>43.013804</v>
      </c>
      <c r="E32" s="6" t="n">
        <v>-88.773985</v>
      </c>
      <c r="F32" s="11" t="n">
        <v>88242.10000000001</v>
      </c>
      <c r="G32" s="11" t="n">
        <v>17223.2</v>
      </c>
      <c r="H32" s="11" t="n">
        <v>3921.1</v>
      </c>
      <c r="I32" s="11" t="n">
        <v>29.7</v>
      </c>
      <c r="J32" s="6" t="n">
        <v>0</v>
      </c>
      <c r="K32" s="11" t="n">
        <v>12031503</v>
      </c>
      <c r="L32" s="11" t="n">
        <v>2454281</v>
      </c>
    </row>
    <row r="33" ht="27.6" customHeight="1" s="22">
      <c r="A33" s="9" t="n">
        <v>29</v>
      </c>
      <c r="B33" s="4" t="inlineStr">
        <is>
          <t>Juneau County</t>
        </is>
      </c>
      <c r="C33" s="4" t="inlineStr">
        <is>
          <t>55057</t>
        </is>
      </c>
      <c r="D33" s="9" t="n">
        <v>43.932836</v>
      </c>
      <c r="E33" s="4" t="n">
        <v>-90.113984</v>
      </c>
      <c r="F33" s="9" t="n">
        <v>42883</v>
      </c>
      <c r="G33" s="9" t="n">
        <v>9273.1</v>
      </c>
      <c r="H33" s="9" t="n">
        <v>1105.6</v>
      </c>
      <c r="I33" s="9" t="n">
        <v>63.4</v>
      </c>
      <c r="J33" s="4" t="n">
        <v>0</v>
      </c>
      <c r="K33" s="9" t="n">
        <v>5846952</v>
      </c>
      <c r="L33" s="9" t="n">
        <v>1321410</v>
      </c>
    </row>
    <row r="34" ht="27.6" customHeight="1" s="22">
      <c r="A34" s="11" t="n">
        <v>30</v>
      </c>
      <c r="B34" s="6" t="inlineStr">
        <is>
          <t>Kenosha County</t>
        </is>
      </c>
      <c r="C34" s="6" t="inlineStr">
        <is>
          <t>55059</t>
        </is>
      </c>
      <c r="D34" s="11" t="n">
        <v>42.587526</v>
      </c>
      <c r="E34" s="6" t="n">
        <v>-87.87999600000001</v>
      </c>
      <c r="F34" s="11" t="n">
        <v>28947.8</v>
      </c>
      <c r="G34" s="11" t="n">
        <v>6735.6</v>
      </c>
      <c r="H34" s="11" t="n">
        <v>2914.5</v>
      </c>
      <c r="I34" s="11" t="n">
        <v>12.4</v>
      </c>
      <c r="J34" s="6" t="n">
        <v>0</v>
      </c>
      <c r="K34" s="11" t="n">
        <v>3946930</v>
      </c>
      <c r="L34" s="11" t="n">
        <v>959816</v>
      </c>
    </row>
    <row r="35" ht="27.6" customHeight="1" s="22">
      <c r="A35" s="9" t="n">
        <v>31</v>
      </c>
      <c r="B35" s="4" t="inlineStr">
        <is>
          <t>Kewaunee County</t>
        </is>
      </c>
      <c r="C35" s="4" t="inlineStr">
        <is>
          <t>55061</t>
        </is>
      </c>
      <c r="D35" s="9" t="n">
        <v>44.605677</v>
      </c>
      <c r="E35" s="4" t="n">
        <v>-87.448008</v>
      </c>
      <c r="F35" s="9" t="n">
        <v>41617.7</v>
      </c>
      <c r="G35" s="9" t="n">
        <v>5709.1</v>
      </c>
      <c r="H35" s="9" t="n">
        <v>9340.6</v>
      </c>
      <c r="I35" s="9" t="n">
        <v>1136.7</v>
      </c>
      <c r="J35" s="4" t="n">
        <v>0</v>
      </c>
      <c r="K35" s="9" t="n">
        <v>5674432</v>
      </c>
      <c r="L35" s="9" t="n">
        <v>813542</v>
      </c>
    </row>
    <row r="36" ht="27.6" customHeight="1" s="22">
      <c r="A36" s="11" t="n">
        <v>32</v>
      </c>
      <c r="B36" s="6" t="inlineStr">
        <is>
          <t>La Crosse County</t>
        </is>
      </c>
      <c r="C36" s="6" t="inlineStr">
        <is>
          <t>55063</t>
        </is>
      </c>
      <c r="D36" s="11" t="n">
        <v>43.908222</v>
      </c>
      <c r="E36" s="6" t="n">
        <v>-91.11175799999999</v>
      </c>
      <c r="F36" s="11" t="n">
        <v>34605</v>
      </c>
      <c r="G36" s="11" t="n">
        <v>7305.6</v>
      </c>
      <c r="H36" s="11" t="n">
        <v>61.5</v>
      </c>
      <c r="I36" s="11" t="n">
        <v>43.4</v>
      </c>
      <c r="J36" s="6" t="n">
        <v>0</v>
      </c>
      <c r="K36" s="11" t="n">
        <v>4718276</v>
      </c>
      <c r="L36" s="11" t="n">
        <v>1041033</v>
      </c>
    </row>
    <row r="37" ht="27.6" customHeight="1" s="22">
      <c r="A37" s="9" t="n">
        <v>33</v>
      </c>
      <c r="B37" s="4" t="inlineStr">
        <is>
          <t>Lafayette County</t>
        </is>
      </c>
      <c r="C37" s="4" t="inlineStr">
        <is>
          <t>55065</t>
        </is>
      </c>
      <c r="D37" s="9" t="n">
        <v>42.655578</v>
      </c>
      <c r="E37" s="4" t="n">
        <v>-90.130292</v>
      </c>
      <c r="F37" s="9" t="n">
        <v>165908.4</v>
      </c>
      <c r="G37" s="9" t="n">
        <v>28745.9</v>
      </c>
      <c r="H37" s="9" t="n">
        <v>1767.3</v>
      </c>
      <c r="I37" s="9" t="n">
        <v>319.9</v>
      </c>
      <c r="J37" s="9" t="n">
        <v>168.4</v>
      </c>
      <c r="K37" s="9" t="n">
        <v>22621042</v>
      </c>
      <c r="L37" s="9" t="n">
        <v>4096253</v>
      </c>
    </row>
    <row r="38" ht="27.6" customHeight="1" s="22">
      <c r="A38" s="11" t="n">
        <v>34</v>
      </c>
      <c r="B38" s="6" t="inlineStr">
        <is>
          <t>Langlade County</t>
        </is>
      </c>
      <c r="C38" s="6" t="inlineStr">
        <is>
          <t>55067</t>
        </is>
      </c>
      <c r="D38" s="11" t="n">
        <v>45.254863</v>
      </c>
      <c r="E38" s="6" t="n">
        <v>-89.06707</v>
      </c>
      <c r="F38" s="11" t="n">
        <v>4701.6</v>
      </c>
      <c r="G38" s="11" t="n">
        <v>1331.4</v>
      </c>
      <c r="H38" s="11" t="n">
        <v>1806.7</v>
      </c>
      <c r="I38" s="11" t="n">
        <v>3157.1</v>
      </c>
      <c r="J38" s="11" t="n">
        <v>158.8</v>
      </c>
      <c r="K38" s="11" t="n">
        <v>641047</v>
      </c>
      <c r="L38" s="11" t="n">
        <v>189720</v>
      </c>
    </row>
    <row r="39" ht="27.6" customHeight="1" s="22">
      <c r="A39" s="9" t="n">
        <v>35</v>
      </c>
      <c r="B39" s="4" t="inlineStr">
        <is>
          <t>Lincoln County</t>
        </is>
      </c>
      <c r="C39" s="4" t="inlineStr">
        <is>
          <t>55069</t>
        </is>
      </c>
      <c r="D39" s="9" t="n">
        <v>45.333148</v>
      </c>
      <c r="E39" s="4" t="n">
        <v>-89.73224</v>
      </c>
      <c r="F39" s="9" t="n">
        <v>8985.9</v>
      </c>
      <c r="G39" s="9" t="n">
        <v>2001.8</v>
      </c>
      <c r="H39" s="9" t="n">
        <v>181</v>
      </c>
      <c r="I39" s="9" t="n">
        <v>219.6</v>
      </c>
      <c r="J39" s="9" t="n">
        <v>50</v>
      </c>
      <c r="K39" s="9" t="n">
        <v>1225199</v>
      </c>
      <c r="L39" s="9" t="n">
        <v>285259</v>
      </c>
    </row>
    <row r="40" ht="27.6" customHeight="1" s="22">
      <c r="A40" s="11" t="n">
        <v>36</v>
      </c>
      <c r="B40" s="6" t="inlineStr">
        <is>
          <t>Manitowoc County</t>
        </is>
      </c>
      <c r="C40" s="6" t="inlineStr">
        <is>
          <t>55071</t>
        </is>
      </c>
      <c r="D40" s="11" t="n">
        <v>44.156137</v>
      </c>
      <c r="E40" s="6" t="n">
        <v>-87.577352</v>
      </c>
      <c r="F40" s="11" t="n">
        <v>40399.7</v>
      </c>
      <c r="G40" s="11" t="n">
        <v>11099.3</v>
      </c>
      <c r="H40" s="11" t="n">
        <v>13507.3</v>
      </c>
      <c r="I40" s="11" t="n">
        <v>525.8</v>
      </c>
      <c r="J40" s="11" t="n">
        <v>9.300000000000001</v>
      </c>
      <c r="K40" s="11" t="n">
        <v>5508361</v>
      </c>
      <c r="L40" s="11" t="n">
        <v>1581635</v>
      </c>
    </row>
    <row r="41" ht="27.6" customHeight="1" s="22">
      <c r="A41" s="9" t="n">
        <v>37</v>
      </c>
      <c r="B41" s="4" t="inlineStr">
        <is>
          <t>Marathon County</t>
        </is>
      </c>
      <c r="C41" s="4" t="inlineStr">
        <is>
          <t>55073</t>
        </is>
      </c>
      <c r="D41" s="9" t="n">
        <v>44.898036</v>
      </c>
      <c r="E41" s="4" t="n">
        <v>-89.757823</v>
      </c>
      <c r="F41" s="9" t="n">
        <v>97816.89999999999</v>
      </c>
      <c r="G41" s="9" t="n">
        <v>21868.3</v>
      </c>
      <c r="H41" s="9" t="n">
        <v>3635.6</v>
      </c>
      <c r="I41" s="9" t="n">
        <v>2637.3</v>
      </c>
      <c r="J41" s="9" t="n">
        <v>167.1</v>
      </c>
      <c r="K41" s="9" t="n">
        <v>13337006</v>
      </c>
      <c r="L41" s="9" t="n">
        <v>3116210</v>
      </c>
    </row>
    <row r="42" ht="27.6" customHeight="1" s="22">
      <c r="A42" s="11" t="n">
        <v>38</v>
      </c>
      <c r="B42" s="6" t="inlineStr">
        <is>
          <t>Marinette County</t>
        </is>
      </c>
      <c r="C42" s="6" t="inlineStr">
        <is>
          <t>55075</t>
        </is>
      </c>
      <c r="D42" s="11" t="n">
        <v>45.346899</v>
      </c>
      <c r="E42" s="6" t="n">
        <v>-87.991198</v>
      </c>
      <c r="F42" s="11" t="n">
        <v>27751.8</v>
      </c>
      <c r="G42" s="11" t="n">
        <v>3497.9</v>
      </c>
      <c r="H42" s="11" t="n">
        <v>1333</v>
      </c>
      <c r="I42" s="11" t="n">
        <v>129.7</v>
      </c>
      <c r="J42" s="6" t="n">
        <v>0</v>
      </c>
      <c r="K42" s="11" t="n">
        <v>3783863</v>
      </c>
      <c r="L42" s="11" t="n">
        <v>498448</v>
      </c>
    </row>
    <row r="43" ht="27.6" customHeight="1" s="22">
      <c r="A43" s="9" t="n">
        <v>39</v>
      </c>
      <c r="B43" s="4" t="inlineStr">
        <is>
          <t>Marquette County</t>
        </is>
      </c>
      <c r="C43" s="4" t="inlineStr">
        <is>
          <t>55077</t>
        </is>
      </c>
      <c r="D43" s="9" t="n">
        <v>43.826053</v>
      </c>
      <c r="E43" s="4" t="n">
        <v>-89.40909499999999</v>
      </c>
      <c r="F43" s="9" t="n">
        <v>33430</v>
      </c>
      <c r="G43" s="9" t="n">
        <v>5940.1</v>
      </c>
      <c r="H43" s="9" t="n">
        <v>700.4</v>
      </c>
      <c r="I43" s="9" t="n">
        <v>11.2</v>
      </c>
      <c r="J43" s="4" t="n">
        <v>0</v>
      </c>
      <c r="K43" s="9" t="n">
        <v>4558073</v>
      </c>
      <c r="L43" s="9" t="n">
        <v>846454</v>
      </c>
    </row>
    <row r="44" ht="27.6" customHeight="1" s="22">
      <c r="A44" s="11" t="n">
        <v>40</v>
      </c>
      <c r="B44" s="6" t="inlineStr">
        <is>
          <t>Menominee County</t>
        </is>
      </c>
      <c r="C44" s="6" t="inlineStr">
        <is>
          <t>55078</t>
        </is>
      </c>
      <c r="D44" s="11" t="n">
        <v>44.991304</v>
      </c>
      <c r="E44" s="6" t="n">
        <v>-88.669251</v>
      </c>
      <c r="F44" s="6" t="n">
        <v>0</v>
      </c>
      <c r="G44" s="6" t="n">
        <v>0</v>
      </c>
      <c r="H44" s="6" t="n">
        <v>0</v>
      </c>
      <c r="I44" s="6" t="n">
        <v>0</v>
      </c>
      <c r="J44" s="6" t="n">
        <v>0</v>
      </c>
      <c r="K44" s="6" t="n">
        <v>0</v>
      </c>
      <c r="L44" s="6" t="n">
        <v>0</v>
      </c>
    </row>
    <row r="45" ht="27.6" customHeight="1" s="22">
      <c r="A45" s="9" t="n">
        <v>41</v>
      </c>
      <c r="B45" s="4" t="inlineStr">
        <is>
          <t>Milwaukee County</t>
        </is>
      </c>
      <c r="C45" s="4" t="inlineStr">
        <is>
          <t>55079</t>
        </is>
      </c>
      <c r="D45" s="9" t="n">
        <v>42.912643</v>
      </c>
      <c r="E45" s="4" t="n">
        <v>-87.862312</v>
      </c>
      <c r="F45" s="9" t="n">
        <v>1404.9</v>
      </c>
      <c r="G45" s="9" t="n">
        <v>522.8</v>
      </c>
      <c r="H45" s="9" t="n">
        <v>149.2</v>
      </c>
      <c r="I45" s="4" t="n">
        <v>0</v>
      </c>
      <c r="J45" s="4" t="n">
        <v>0</v>
      </c>
      <c r="K45" s="9" t="n">
        <v>191560</v>
      </c>
      <c r="L45" s="9" t="n">
        <v>74492</v>
      </c>
    </row>
    <row r="46" ht="27.6" customHeight="1" s="22">
      <c r="A46" s="11" t="n">
        <v>42</v>
      </c>
      <c r="B46" s="6" t="inlineStr">
        <is>
          <t>Monroe County</t>
        </is>
      </c>
      <c r="C46" s="6" t="inlineStr">
        <is>
          <t>55081</t>
        </is>
      </c>
      <c r="D46" s="11" t="n">
        <v>43.945175</v>
      </c>
      <c r="E46" s="6" t="n">
        <v>-90.619969</v>
      </c>
      <c r="F46" s="11" t="n">
        <v>49640.7</v>
      </c>
      <c r="G46" s="11" t="n">
        <v>7889.4</v>
      </c>
      <c r="H46" s="11" t="n">
        <v>107.7</v>
      </c>
      <c r="I46" s="11" t="n">
        <v>404.6</v>
      </c>
      <c r="J46" s="6" t="n">
        <v>0</v>
      </c>
      <c r="K46" s="11" t="n">
        <v>6768338</v>
      </c>
      <c r="L46" s="11" t="n">
        <v>1124226</v>
      </c>
    </row>
    <row r="47" ht="27.6" customHeight="1" s="22">
      <c r="A47" s="9" t="n">
        <v>43</v>
      </c>
      <c r="B47" s="4" t="inlineStr">
        <is>
          <t>Oconto County</t>
        </is>
      </c>
      <c r="C47" s="4" t="inlineStr">
        <is>
          <t>55083</t>
        </is>
      </c>
      <c r="D47" s="9" t="n">
        <v>44.996575</v>
      </c>
      <c r="E47" s="4" t="n">
        <v>-88.20651599999999</v>
      </c>
      <c r="F47" s="9" t="n">
        <v>40882.5</v>
      </c>
      <c r="G47" s="9" t="n">
        <v>9433.5</v>
      </c>
      <c r="H47" s="9" t="n">
        <v>3232.5</v>
      </c>
      <c r="I47" s="9" t="n">
        <v>749.6</v>
      </c>
      <c r="J47" s="4" t="n">
        <v>0</v>
      </c>
      <c r="K47" s="9" t="n">
        <v>5574196</v>
      </c>
      <c r="L47" s="9" t="n">
        <v>1344257</v>
      </c>
    </row>
    <row r="48" ht="27.6" customHeight="1" s="22">
      <c r="A48" s="11" t="n">
        <v>44</v>
      </c>
      <c r="B48" s="6" t="inlineStr">
        <is>
          <t>Oneida County</t>
        </is>
      </c>
      <c r="C48" s="6" t="inlineStr">
        <is>
          <t>55085</t>
        </is>
      </c>
      <c r="D48" s="11" t="n">
        <v>45.716176</v>
      </c>
      <c r="E48" s="6" t="n">
        <v>-89.534533</v>
      </c>
      <c r="F48" s="11" t="n">
        <v>518.5</v>
      </c>
      <c r="G48" s="11" t="n">
        <v>170.1</v>
      </c>
      <c r="H48" s="6" t="n">
        <v>0</v>
      </c>
      <c r="I48" s="6" t="n">
        <v>0</v>
      </c>
      <c r="J48" s="6" t="n">
        <v>0</v>
      </c>
      <c r="K48" s="11" t="n">
        <v>70700</v>
      </c>
      <c r="L48" s="11" t="n">
        <v>24244</v>
      </c>
    </row>
    <row r="49" ht="27.6" customHeight="1" s="22">
      <c r="A49" s="9" t="n">
        <v>45</v>
      </c>
      <c r="B49" s="4" t="inlineStr">
        <is>
          <t>Outagamie County</t>
        </is>
      </c>
      <c r="C49" s="4" t="inlineStr">
        <is>
          <t>55087</t>
        </is>
      </c>
      <c r="D49" s="9" t="n">
        <v>44.418226</v>
      </c>
      <c r="E49" s="4" t="n">
        <v>-88.46498800000001</v>
      </c>
      <c r="F49" s="9" t="n">
        <v>77342.7</v>
      </c>
      <c r="G49" s="9" t="n">
        <v>19218.4</v>
      </c>
      <c r="H49" s="9" t="n">
        <v>5481.8</v>
      </c>
      <c r="I49" s="9" t="n">
        <v>447.9</v>
      </c>
      <c r="J49" s="4" t="n">
        <v>0</v>
      </c>
      <c r="K49" s="9" t="n">
        <v>10545417</v>
      </c>
      <c r="L49" s="9" t="n">
        <v>2738596</v>
      </c>
    </row>
    <row r="50" ht="27.6" customHeight="1" s="22">
      <c r="A50" s="11" t="n">
        <v>46</v>
      </c>
      <c r="B50" s="6" t="inlineStr">
        <is>
          <t>Ozaukee County</t>
        </is>
      </c>
      <c r="C50" s="6" t="inlineStr">
        <is>
          <t>55089</t>
        </is>
      </c>
      <c r="D50" s="11" t="n">
        <v>43.501807</v>
      </c>
      <c r="E50" s="6" t="n">
        <v>-87.847551</v>
      </c>
      <c r="F50" s="11" t="n">
        <v>10075.6</v>
      </c>
      <c r="G50" s="11" t="n">
        <v>3826.3</v>
      </c>
      <c r="H50" s="11" t="n">
        <v>2362.6</v>
      </c>
      <c r="I50" s="11" t="n">
        <v>85.5</v>
      </c>
      <c r="J50" s="6" t="n">
        <v>0</v>
      </c>
      <c r="K50" s="11" t="n">
        <v>1373767</v>
      </c>
      <c r="L50" s="11" t="n">
        <v>545239</v>
      </c>
    </row>
    <row r="51" ht="27.6" customHeight="1" s="22">
      <c r="A51" s="9" t="n">
        <v>47</v>
      </c>
      <c r="B51" s="4" t="inlineStr">
        <is>
          <t>Pepin County</t>
        </is>
      </c>
      <c r="C51" s="4" t="inlineStr">
        <is>
          <t>55091</t>
        </is>
      </c>
      <c r="D51" s="9" t="n">
        <v>44.627436</v>
      </c>
      <c r="E51" s="4" t="n">
        <v>-91.83489</v>
      </c>
      <c r="F51" s="9" t="n">
        <v>31357.9</v>
      </c>
      <c r="G51" s="9" t="n">
        <v>5889.7</v>
      </c>
      <c r="H51" s="4" t="n">
        <v>0</v>
      </c>
      <c r="I51" s="4" t="n">
        <v>0</v>
      </c>
      <c r="J51" s="4" t="n">
        <v>0</v>
      </c>
      <c r="K51" s="9" t="n">
        <v>4275540</v>
      </c>
      <c r="L51" s="9" t="n">
        <v>839271</v>
      </c>
    </row>
    <row r="52" ht="27.6" customHeight="1" s="22">
      <c r="A52" s="11" t="n">
        <v>48</v>
      </c>
      <c r="B52" s="6" t="inlineStr">
        <is>
          <t>Pierce County</t>
        </is>
      </c>
      <c r="C52" s="6" t="inlineStr">
        <is>
          <t>55093</t>
        </is>
      </c>
      <c r="D52" s="11" t="n">
        <v>44.725336</v>
      </c>
      <c r="E52" s="6" t="n">
        <v>-92.42627899999999</v>
      </c>
      <c r="F52" s="11" t="n">
        <v>81033.2</v>
      </c>
      <c r="G52" s="11" t="n">
        <v>14352</v>
      </c>
      <c r="H52" s="11" t="n">
        <v>441.2</v>
      </c>
      <c r="I52" s="11" t="n">
        <v>504.2</v>
      </c>
      <c r="J52" s="6" t="n">
        <v>0</v>
      </c>
      <c r="K52" s="11" t="n">
        <v>11048598</v>
      </c>
      <c r="L52" s="11" t="n">
        <v>2045139</v>
      </c>
    </row>
    <row r="53" ht="27.6" customHeight="1" s="22">
      <c r="A53" s="9" t="n">
        <v>49</v>
      </c>
      <c r="B53" s="4" t="inlineStr">
        <is>
          <t>Polk County</t>
        </is>
      </c>
      <c r="C53" s="4" t="inlineStr">
        <is>
          <t>55095</t>
        </is>
      </c>
      <c r="D53" s="9" t="n">
        <v>45.462041</v>
      </c>
      <c r="E53" s="4" t="n">
        <v>-92.44706600000001</v>
      </c>
      <c r="F53" s="9" t="n">
        <v>57748</v>
      </c>
      <c r="G53" s="9" t="n">
        <v>10537.6</v>
      </c>
      <c r="H53" s="9" t="n">
        <v>288</v>
      </c>
      <c r="I53" s="9" t="n">
        <v>269.9</v>
      </c>
      <c r="J53" s="9" t="n">
        <v>35.3</v>
      </c>
      <c r="K53" s="9" t="n">
        <v>7873744</v>
      </c>
      <c r="L53" s="9" t="n">
        <v>1501603</v>
      </c>
    </row>
    <row r="54" ht="27.6" customHeight="1" s="22">
      <c r="A54" s="11" t="n">
        <v>50</v>
      </c>
      <c r="B54" s="6" t="inlineStr">
        <is>
          <t>Portage County</t>
        </is>
      </c>
      <c r="C54" s="6" t="inlineStr">
        <is>
          <t>55097</t>
        </is>
      </c>
      <c r="D54" s="11" t="n">
        <v>44.476246</v>
      </c>
      <c r="E54" s="6" t="n">
        <v>-89.49807</v>
      </c>
      <c r="F54" s="11" t="n">
        <v>52899.1</v>
      </c>
      <c r="G54" s="11" t="n">
        <v>6973.3</v>
      </c>
      <c r="H54" s="11" t="n">
        <v>631.2</v>
      </c>
      <c r="I54" s="11" t="n">
        <v>561</v>
      </c>
      <c r="J54" s="11" t="n">
        <v>24.2</v>
      </c>
      <c r="K54" s="11" t="n">
        <v>7212606</v>
      </c>
      <c r="L54" s="11" t="n">
        <v>993693</v>
      </c>
    </row>
    <row r="55" ht="27.6" customHeight="1" s="22">
      <c r="A55" s="9" t="n">
        <v>51</v>
      </c>
      <c r="B55" s="4" t="inlineStr">
        <is>
          <t>Price County</t>
        </is>
      </c>
      <c r="C55" s="4" t="inlineStr">
        <is>
          <t>55099</t>
        </is>
      </c>
      <c r="D55" s="9" t="n">
        <v>45.679072</v>
      </c>
      <c r="E55" s="4" t="n">
        <v>-90.35965</v>
      </c>
      <c r="F55" s="9" t="n">
        <v>989.2</v>
      </c>
      <c r="G55" s="9" t="n">
        <v>207.6</v>
      </c>
      <c r="H55" s="4" t="n">
        <v>0</v>
      </c>
      <c r="I55" s="9" t="n">
        <v>64.40000000000001</v>
      </c>
      <c r="J55" s="4" t="n">
        <v>0</v>
      </c>
      <c r="K55" s="9" t="n">
        <v>134878</v>
      </c>
      <c r="L55" s="9" t="n">
        <v>29587</v>
      </c>
    </row>
    <row r="56" ht="27.6" customHeight="1" s="22">
      <c r="A56" s="11" t="n">
        <v>52</v>
      </c>
      <c r="B56" s="6" t="inlineStr">
        <is>
          <t>Racine County</t>
        </is>
      </c>
      <c r="C56" s="6" t="inlineStr">
        <is>
          <t>55101</t>
        </is>
      </c>
      <c r="D56" s="11" t="n">
        <v>42.780392</v>
      </c>
      <c r="E56" s="6" t="n">
        <v>-87.77159899999999</v>
      </c>
      <c r="F56" s="11" t="n">
        <v>41261.6</v>
      </c>
      <c r="G56" s="11" t="n">
        <v>11995.1</v>
      </c>
      <c r="H56" s="11" t="n">
        <v>5745.6</v>
      </c>
      <c r="I56" s="11" t="n">
        <v>151</v>
      </c>
      <c r="J56" s="6" t="n">
        <v>0</v>
      </c>
      <c r="K56" s="11" t="n">
        <v>5625877</v>
      </c>
      <c r="L56" s="11" t="n">
        <v>1709283</v>
      </c>
    </row>
    <row r="57" ht="27.6" customHeight="1" s="22">
      <c r="A57" s="9" t="n">
        <v>53</v>
      </c>
      <c r="B57" s="4" t="inlineStr">
        <is>
          <t>Richland County</t>
        </is>
      </c>
      <c r="C57" s="4" t="inlineStr">
        <is>
          <t>55103</t>
        </is>
      </c>
      <c r="D57" s="9" t="n">
        <v>43.376199</v>
      </c>
      <c r="E57" s="4" t="n">
        <v>-90.435693</v>
      </c>
      <c r="F57" s="9" t="n">
        <v>45595.8</v>
      </c>
      <c r="G57" s="9" t="n">
        <v>6264.5</v>
      </c>
      <c r="H57" s="9" t="n">
        <v>1105.9</v>
      </c>
      <c r="I57" s="9" t="n">
        <v>148.9</v>
      </c>
      <c r="J57" s="4" t="n">
        <v>0</v>
      </c>
      <c r="K57" s="9" t="n">
        <v>6216827</v>
      </c>
      <c r="L57" s="9" t="n">
        <v>892685</v>
      </c>
    </row>
    <row r="58" ht="27.6" customHeight="1" s="22">
      <c r="A58" s="11" t="n">
        <v>54</v>
      </c>
      <c r="B58" s="6" t="inlineStr">
        <is>
          <t>Rock County</t>
        </is>
      </c>
      <c r="C58" s="6" t="inlineStr">
        <is>
          <t>55105</t>
        </is>
      </c>
      <c r="D58" s="11" t="n">
        <v>42.66988</v>
      </c>
      <c r="E58" s="6" t="n">
        <v>-89.075284</v>
      </c>
      <c r="F58" s="11" t="n">
        <v>170714.2</v>
      </c>
      <c r="G58" s="11" t="n">
        <v>35698</v>
      </c>
      <c r="H58" s="11" t="n">
        <v>3693.4</v>
      </c>
      <c r="I58" s="11" t="n">
        <v>9.5</v>
      </c>
      <c r="J58" s="6" t="n">
        <v>0</v>
      </c>
      <c r="K58" s="11" t="n">
        <v>23276303</v>
      </c>
      <c r="L58" s="11" t="n">
        <v>5086921</v>
      </c>
    </row>
    <row r="59" ht="27.6" customHeight="1" s="22">
      <c r="A59" s="9" t="n">
        <v>55</v>
      </c>
      <c r="B59" s="4" t="inlineStr">
        <is>
          <t>Rusk County</t>
        </is>
      </c>
      <c r="C59" s="4" t="inlineStr">
        <is>
          <t>55107</t>
        </is>
      </c>
      <c r="D59" s="9" t="n">
        <v>45.472734</v>
      </c>
      <c r="E59" s="4" t="n">
        <v>-91.136745</v>
      </c>
      <c r="F59" s="9" t="n">
        <v>17095.1</v>
      </c>
      <c r="G59" s="9" t="n">
        <v>3810.1</v>
      </c>
      <c r="H59" s="9" t="n">
        <v>244.7</v>
      </c>
      <c r="I59" s="9" t="n">
        <v>38.8</v>
      </c>
      <c r="J59" s="4" t="n">
        <v>0</v>
      </c>
      <c r="K59" s="9" t="n">
        <v>2330860</v>
      </c>
      <c r="L59" s="9" t="n">
        <v>542936</v>
      </c>
    </row>
    <row r="60" ht="27.6" customHeight="1" s="22">
      <c r="A60" s="11" t="n">
        <v>56</v>
      </c>
      <c r="B60" s="6" t="inlineStr">
        <is>
          <t>St. Croix County</t>
        </is>
      </c>
      <c r="C60" s="6" t="inlineStr">
        <is>
          <t>55109</t>
        </is>
      </c>
      <c r="D60" s="11" t="n">
        <v>45.028959</v>
      </c>
      <c r="E60" s="6" t="n">
        <v>-92.447284</v>
      </c>
      <c r="F60" s="11" t="n">
        <v>90521.2</v>
      </c>
      <c r="G60" s="11" t="n">
        <v>18931.3</v>
      </c>
      <c r="H60" s="11" t="n">
        <v>389.1</v>
      </c>
      <c r="I60" s="11" t="n">
        <v>329.4</v>
      </c>
      <c r="J60" s="6" t="n">
        <v>0</v>
      </c>
      <c r="K60" s="11" t="n">
        <v>12342255</v>
      </c>
      <c r="L60" s="11" t="n">
        <v>2697692</v>
      </c>
    </row>
    <row r="61" ht="27.6" customHeight="1" s="22">
      <c r="A61" s="9" t="n">
        <v>57</v>
      </c>
      <c r="B61" s="4" t="inlineStr">
        <is>
          <t>Sauk County</t>
        </is>
      </c>
      <c r="C61" s="4" t="inlineStr">
        <is>
          <t>55111</t>
        </is>
      </c>
      <c r="D61" s="9" t="n">
        <v>43.428001</v>
      </c>
      <c r="E61" s="4" t="n">
        <v>-89.943318</v>
      </c>
      <c r="F61" s="9" t="n">
        <v>99428.39999999999</v>
      </c>
      <c r="G61" s="9" t="n">
        <v>16018.5</v>
      </c>
      <c r="H61" s="9" t="n">
        <v>3931.3</v>
      </c>
      <c r="I61" s="9" t="n">
        <v>123.1</v>
      </c>
      <c r="J61" s="4" t="n">
        <v>0</v>
      </c>
      <c r="K61" s="9" t="n">
        <v>13556719</v>
      </c>
      <c r="L61" s="9" t="n">
        <v>2282623</v>
      </c>
    </row>
    <row r="62" ht="27.6" customHeight="1" s="22">
      <c r="A62" s="11" t="n">
        <v>58</v>
      </c>
      <c r="B62" s="6" t="inlineStr">
        <is>
          <t>Sawyer County</t>
        </is>
      </c>
      <c r="C62" s="6" t="inlineStr">
        <is>
          <t>55113</t>
        </is>
      </c>
      <c r="D62" s="11" t="n">
        <v>45.864999</v>
      </c>
      <c r="E62" s="6" t="n">
        <v>-91.147063</v>
      </c>
      <c r="F62" s="11" t="n">
        <v>4356.3</v>
      </c>
      <c r="G62" s="11" t="n">
        <v>494.8</v>
      </c>
      <c r="H62" s="6" t="n">
        <v>0</v>
      </c>
      <c r="I62" s="6" t="n">
        <v>0</v>
      </c>
      <c r="J62" s="6" t="n">
        <v>0</v>
      </c>
      <c r="K62" s="11" t="n">
        <v>593973</v>
      </c>
      <c r="L62" s="11" t="n">
        <v>70508</v>
      </c>
    </row>
    <row r="63" ht="27.6" customHeight="1" s="22">
      <c r="A63" s="9" t="n">
        <v>59</v>
      </c>
      <c r="B63" s="4" t="inlineStr">
        <is>
          <t>Shawano County</t>
        </is>
      </c>
      <c r="C63" s="4" t="inlineStr">
        <is>
          <t>55115</t>
        </is>
      </c>
      <c r="D63" s="9" t="n">
        <v>44.789641</v>
      </c>
      <c r="E63" s="4" t="n">
        <v>-88.755813</v>
      </c>
      <c r="F63" s="9" t="n">
        <v>57953.9</v>
      </c>
      <c r="G63" s="9" t="n">
        <v>11431.3</v>
      </c>
      <c r="H63" s="9" t="n">
        <v>3233</v>
      </c>
      <c r="I63" s="9" t="n">
        <v>1206.5</v>
      </c>
      <c r="J63" s="9" t="n">
        <v>137.1</v>
      </c>
      <c r="K63" s="9" t="n">
        <v>7901814</v>
      </c>
      <c r="L63" s="9" t="n">
        <v>1628951</v>
      </c>
    </row>
    <row r="64" ht="27.6" customHeight="1" s="22">
      <c r="A64" s="11" t="n">
        <v>60</v>
      </c>
      <c r="B64" s="6" t="inlineStr">
        <is>
          <t>Sheboygan County</t>
        </is>
      </c>
      <c r="C64" s="6" t="inlineStr">
        <is>
          <t>55117</t>
        </is>
      </c>
      <c r="D64" s="11" t="n">
        <v>43.741232</v>
      </c>
      <c r="E64" s="6" t="n">
        <v>-87.731516</v>
      </c>
      <c r="F64" s="11" t="n">
        <v>47591.2</v>
      </c>
      <c r="G64" s="11" t="n">
        <v>13851.4</v>
      </c>
      <c r="H64" s="11" t="n">
        <v>12678.3</v>
      </c>
      <c r="I64" s="11" t="n">
        <v>934.6</v>
      </c>
      <c r="J64" s="11" t="n">
        <v>27.6</v>
      </c>
      <c r="K64" s="11" t="n">
        <v>6488902</v>
      </c>
      <c r="L64" s="11" t="n">
        <v>1973807</v>
      </c>
    </row>
    <row r="65" ht="27.6" customHeight="1" s="22">
      <c r="A65" s="9" t="n">
        <v>61</v>
      </c>
      <c r="B65" s="4" t="inlineStr">
        <is>
          <t>Taylor County</t>
        </is>
      </c>
      <c r="C65" s="4" t="inlineStr">
        <is>
          <t>55119</t>
        </is>
      </c>
      <c r="D65" s="9" t="n">
        <v>45.211656</v>
      </c>
      <c r="E65" s="4" t="n">
        <v>-90.504853</v>
      </c>
      <c r="F65" s="9" t="n">
        <v>28959.2</v>
      </c>
      <c r="G65" s="9" t="n">
        <v>9719.9</v>
      </c>
      <c r="H65" s="9" t="n">
        <v>443.8</v>
      </c>
      <c r="I65" s="9" t="n">
        <v>910</v>
      </c>
      <c r="J65" s="9" t="n">
        <v>16.5</v>
      </c>
      <c r="K65" s="9" t="n">
        <v>3948493</v>
      </c>
      <c r="L65" s="9" t="n">
        <v>1385079</v>
      </c>
    </row>
    <row r="66" ht="27.6" customHeight="1" s="22">
      <c r="A66" s="11" t="n">
        <v>62</v>
      </c>
      <c r="B66" s="6" t="inlineStr">
        <is>
          <t>Trempealeau County</t>
        </is>
      </c>
      <c r="C66" s="6" t="inlineStr">
        <is>
          <t>55121</t>
        </is>
      </c>
      <c r="D66" s="11" t="n">
        <v>44.30305</v>
      </c>
      <c r="E66" s="6" t="n">
        <v>-91.358867</v>
      </c>
      <c r="F66" s="11" t="n">
        <v>91940.60000000001</v>
      </c>
      <c r="G66" s="11" t="n">
        <v>14320.2</v>
      </c>
      <c r="H66" s="11" t="n">
        <v>249.9</v>
      </c>
      <c r="I66" s="11" t="n">
        <v>74.3</v>
      </c>
      <c r="J66" s="6" t="n">
        <v>0</v>
      </c>
      <c r="K66" s="11" t="n">
        <v>12535789</v>
      </c>
      <c r="L66" s="11" t="n">
        <v>2040607</v>
      </c>
    </row>
    <row r="67" ht="27.6" customHeight="1" s="22">
      <c r="A67" s="9" t="n">
        <v>63</v>
      </c>
      <c r="B67" s="4" t="inlineStr">
        <is>
          <t>Vernon County</t>
        </is>
      </c>
      <c r="C67" s="4" t="inlineStr">
        <is>
          <t>55123</t>
        </is>
      </c>
      <c r="D67" s="9" t="n">
        <v>43.599366</v>
      </c>
      <c r="E67" s="4" t="n">
        <v>-90.821983</v>
      </c>
      <c r="F67" s="9" t="n">
        <v>68085.7</v>
      </c>
      <c r="G67" s="9" t="n">
        <v>13584.4</v>
      </c>
      <c r="H67" s="9" t="n">
        <v>1054.8</v>
      </c>
      <c r="I67" s="9" t="n">
        <v>462</v>
      </c>
      <c r="J67" s="9" t="n">
        <v>12.5</v>
      </c>
      <c r="K67" s="9" t="n">
        <v>9283255</v>
      </c>
      <c r="L67" s="9" t="n">
        <v>1935757</v>
      </c>
    </row>
    <row r="68" ht="27.6" customHeight="1" s="22">
      <c r="A68" s="11" t="n">
        <v>64</v>
      </c>
      <c r="B68" s="6" t="inlineStr">
        <is>
          <t>Vilas County</t>
        </is>
      </c>
      <c r="C68" s="6" t="inlineStr">
        <is>
          <t>55125</t>
        </is>
      </c>
      <c r="D68" s="11" t="n">
        <v>46.049848</v>
      </c>
      <c r="E68" s="6" t="n">
        <v>-89.501254</v>
      </c>
      <c r="F68" s="6" t="n">
        <v>0</v>
      </c>
      <c r="G68" s="6" t="n">
        <v>0</v>
      </c>
      <c r="H68" s="6" t="n">
        <v>0</v>
      </c>
      <c r="I68" s="6" t="n">
        <v>0</v>
      </c>
      <c r="J68" s="6" t="n">
        <v>0</v>
      </c>
      <c r="K68" s="6" t="n">
        <v>0</v>
      </c>
      <c r="L68" s="6" t="n">
        <v>0</v>
      </c>
    </row>
    <row r="69" ht="27.6" customHeight="1" s="22">
      <c r="A69" s="9" t="n">
        <v>65</v>
      </c>
      <c r="B69" s="4" t="inlineStr">
        <is>
          <t>Walworth County</t>
        </is>
      </c>
      <c r="C69" s="4" t="inlineStr">
        <is>
          <t>55127</t>
        </is>
      </c>
      <c r="D69" s="9" t="n">
        <v>42.66811</v>
      </c>
      <c r="E69" s="4" t="n">
        <v>-88.541731</v>
      </c>
      <c r="F69" s="9" t="n">
        <v>89815.8</v>
      </c>
      <c r="G69" s="9" t="n">
        <v>15996.2</v>
      </c>
      <c r="H69" s="9" t="n">
        <v>2923.6</v>
      </c>
      <c r="I69" s="9" t="n">
        <v>25.2</v>
      </c>
      <c r="J69" s="4" t="n">
        <v>0</v>
      </c>
      <c r="K69" s="9" t="n">
        <v>12246083</v>
      </c>
      <c r="L69" s="9" t="n">
        <v>2279437</v>
      </c>
    </row>
    <row r="70" ht="27.6" customHeight="1" s="22">
      <c r="A70" s="11" t="n">
        <v>66</v>
      </c>
      <c r="B70" s="6" t="inlineStr">
        <is>
          <t>Washburn County</t>
        </is>
      </c>
      <c r="C70" s="6" t="inlineStr">
        <is>
          <t>55129</t>
        </is>
      </c>
      <c r="D70" s="11" t="n">
        <v>45.892489</v>
      </c>
      <c r="E70" s="6" t="n">
        <v>-91.79642200000001</v>
      </c>
      <c r="F70" s="11" t="n">
        <v>11525</v>
      </c>
      <c r="G70" s="11" t="n">
        <v>2355.6</v>
      </c>
      <c r="H70" s="11" t="n">
        <v>112.4</v>
      </c>
      <c r="I70" s="11" t="n">
        <v>122.7</v>
      </c>
      <c r="J70" s="6" t="n">
        <v>0</v>
      </c>
      <c r="K70" s="11" t="n">
        <v>1571393</v>
      </c>
      <c r="L70" s="11" t="n">
        <v>335677</v>
      </c>
    </row>
    <row r="71" ht="27.6" customHeight="1" s="22">
      <c r="A71" s="9" t="n">
        <v>67</v>
      </c>
      <c r="B71" s="4" t="inlineStr">
        <is>
          <t>Washington County</t>
        </is>
      </c>
      <c r="C71" s="4" t="inlineStr">
        <is>
          <t>55131</t>
        </is>
      </c>
      <c r="D71" s="9" t="n">
        <v>43.391156</v>
      </c>
      <c r="E71" s="4" t="n">
        <v>-88.232917</v>
      </c>
      <c r="F71" s="9" t="n">
        <v>33972.8</v>
      </c>
      <c r="G71" s="9" t="n">
        <v>8430.9</v>
      </c>
      <c r="H71" s="9" t="n">
        <v>3970.5</v>
      </c>
      <c r="I71" s="9" t="n">
        <v>686.9</v>
      </c>
      <c r="J71" s="9" t="n">
        <v>20.2</v>
      </c>
      <c r="K71" s="9" t="n">
        <v>4632082</v>
      </c>
      <c r="L71" s="9" t="n">
        <v>1201393</v>
      </c>
    </row>
    <row r="72" ht="27.6" customHeight="1" s="22">
      <c r="A72" s="11" t="n">
        <v>68</v>
      </c>
      <c r="B72" s="6" t="inlineStr">
        <is>
          <t>Waukesha County</t>
        </is>
      </c>
      <c r="C72" s="6" t="inlineStr">
        <is>
          <t>55133</t>
        </is>
      </c>
      <c r="D72" s="11" t="n">
        <v>43.018368</v>
      </c>
      <c r="E72" s="6" t="n">
        <v>-88.30423999999999</v>
      </c>
      <c r="F72" s="11" t="n">
        <v>23012</v>
      </c>
      <c r="G72" s="11" t="n">
        <v>5854.6</v>
      </c>
      <c r="H72" s="11" t="n">
        <v>1238.2</v>
      </c>
      <c r="I72" s="11" t="n">
        <v>31</v>
      </c>
      <c r="J72" s="6" t="n">
        <v>0</v>
      </c>
      <c r="K72" s="11" t="n">
        <v>3137605</v>
      </c>
      <c r="L72" s="11" t="n">
        <v>834270</v>
      </c>
    </row>
    <row r="73" ht="27.6" customHeight="1" s="22">
      <c r="A73" s="9" t="n">
        <v>69</v>
      </c>
      <c r="B73" s="4" t="inlineStr">
        <is>
          <t>Waupaca County</t>
        </is>
      </c>
      <c r="C73" s="4" t="inlineStr">
        <is>
          <t>55135</t>
        </is>
      </c>
      <c r="D73" s="9" t="n">
        <v>44.478004</v>
      </c>
      <c r="E73" s="4" t="n">
        <v>-88.967005</v>
      </c>
      <c r="F73" s="9" t="n">
        <v>50666.4</v>
      </c>
      <c r="G73" s="9" t="n">
        <v>9393.700000000001</v>
      </c>
      <c r="H73" s="9" t="n">
        <v>1971</v>
      </c>
      <c r="I73" s="9" t="n">
        <v>100.9</v>
      </c>
      <c r="J73" s="4" t="n">
        <v>0</v>
      </c>
      <c r="K73" s="9" t="n">
        <v>6908193</v>
      </c>
      <c r="L73" s="9" t="n">
        <v>1338594</v>
      </c>
    </row>
    <row r="74" ht="27.6" customHeight="1" s="22">
      <c r="A74" s="11" t="n">
        <v>70</v>
      </c>
      <c r="B74" s="6" t="inlineStr">
        <is>
          <t>Waushara County</t>
        </is>
      </c>
      <c r="C74" s="6" t="inlineStr">
        <is>
          <t>55137</t>
        </is>
      </c>
      <c r="D74" s="11" t="n">
        <v>44.112823</v>
      </c>
      <c r="E74" s="6" t="n">
        <v>-89.239786</v>
      </c>
      <c r="F74" s="11" t="n">
        <v>39059.6</v>
      </c>
      <c r="G74" s="11" t="n">
        <v>5950.6</v>
      </c>
      <c r="H74" s="11" t="n">
        <v>1149.9</v>
      </c>
      <c r="I74" s="11" t="n">
        <v>72.09999999999999</v>
      </c>
      <c r="J74" s="6" t="n">
        <v>0</v>
      </c>
      <c r="K74" s="11" t="n">
        <v>5325644</v>
      </c>
      <c r="L74" s="11" t="n">
        <v>847956</v>
      </c>
    </row>
    <row r="75" ht="27.6" customHeight="1" s="22">
      <c r="A75" s="9" t="n">
        <v>71</v>
      </c>
      <c r="B75" s="4" t="inlineStr">
        <is>
          <t>Winnebago County</t>
        </is>
      </c>
      <c r="C75" s="4" t="inlineStr">
        <is>
          <t>55139</t>
        </is>
      </c>
      <c r="D75" s="9" t="n">
        <v>44.085707</v>
      </c>
      <c r="E75" s="4" t="n">
        <v>-88.668149</v>
      </c>
      <c r="F75" s="9" t="n">
        <v>43044.2</v>
      </c>
      <c r="G75" s="9" t="n">
        <v>12918.5</v>
      </c>
      <c r="H75" s="9" t="n">
        <v>6352.9</v>
      </c>
      <c r="I75" s="9" t="n">
        <v>57.1</v>
      </c>
      <c r="J75" s="4" t="n">
        <v>0</v>
      </c>
      <c r="K75" s="9" t="n">
        <v>5868936</v>
      </c>
      <c r="L75" s="9" t="n">
        <v>1840866</v>
      </c>
    </row>
    <row r="76" ht="27.6" customHeight="1" s="22">
      <c r="A76" s="11" t="n">
        <v>72</v>
      </c>
      <c r="B76" s="6" t="inlineStr">
        <is>
          <t>Wood County</t>
        </is>
      </c>
      <c r="C76" s="6" t="inlineStr">
        <is>
          <t>55141</t>
        </is>
      </c>
      <c r="D76" s="11" t="n">
        <v>44.461413</v>
      </c>
      <c r="E76" s="6" t="n">
        <v>-90.038825</v>
      </c>
      <c r="F76" s="11" t="n">
        <v>37574.9</v>
      </c>
      <c r="G76" s="11" t="n">
        <v>8607.299999999999</v>
      </c>
      <c r="H76" s="11" t="n">
        <v>2832.1</v>
      </c>
      <c r="I76" s="11" t="n">
        <v>122.6</v>
      </c>
      <c r="J76" s="11" t="n">
        <v>48.6</v>
      </c>
      <c r="K76" s="11" t="n">
        <v>5123212</v>
      </c>
      <c r="L76" s="11" t="n">
        <v>1226524</v>
      </c>
    </row>
    <row r="77" ht="27.6" customHeight="1" s="22">
      <c r="A77" s="13" t="inlineStr">
        <is>
          <t>TOTAL (CENSUS)</t>
        </is>
      </c>
      <c r="F77" s="14">
        <f>SUM(F5:F76)</f>
        <v/>
      </c>
      <c r="G77" s="14">
        <f>SUM(G5:G76)</f>
        <v/>
      </c>
      <c r="H77" s="14">
        <f>SUM(H5:H76)</f>
        <v/>
      </c>
      <c r="I77" s="14">
        <f>SUM(I5:I76)</f>
        <v/>
      </c>
      <c r="J77" s="14">
        <f>SUM(J5:J76)</f>
        <v/>
      </c>
    </row>
  </sheetData>
  <mergeCells count="2"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6"/>
  <sheetViews>
    <sheetView topLeftCell="A7" workbookViewId="0">
      <selection activeCell="H12" sqref="H12"/>
    </sheetView>
  </sheetViews>
  <sheetFormatPr baseColWidth="8" defaultRowHeight="14.4"/>
  <cols>
    <col width="8" customWidth="1" style="22" min="1" max="1"/>
    <col width="44" customWidth="1" style="22" min="2" max="2"/>
    <col width="18" customWidth="1" style="22" min="3" max="3"/>
    <col width="14" customWidth="1" style="22" min="4" max="6"/>
    <col width="12" customWidth="1" style="22" min="7" max="8"/>
    <col width="62" customWidth="1" style="22" min="9" max="9"/>
    <col width="50" customWidth="1" style="22" min="10" max="10"/>
  </cols>
  <sheetData>
    <row r="1" ht="18" customHeight="1" s="22">
      <c r="A1" s="24" t="inlineStr">
        <is>
          <t>Technology Parameters — T1 Dehydration + T2 Slow Pyrolysis 300°C (All Citations Verified)</t>
        </is>
      </c>
    </row>
    <row r="2">
      <c r="A2" s="23" t="inlineStr">
        <is>
          <t>CRF=0.1175 (10% WACC, 20yr). OP_DAYS=330. beta=0.6. [R4] Shabangu=Fuel 117:742 (CORRECTED). SmallDiam MC=45% (Roberts 2010, advisor confirmed). 300°C only (advisor confirmed 2026-06-20).</t>
        </is>
      </c>
    </row>
    <row r="4" ht="15" customHeight="1" s="22">
      <c r="A4" s="14" t="inlineStr">
        <is>
          <t>A. Dehydration (T1) CAPEX — Rotary Drum Dryer (beta=0.6, CRF=0.1175)</t>
        </is>
      </c>
    </row>
    <row r="5" ht="27.6" customHeight="1" s="22">
      <c r="A5" s="3" t="inlineStr">
        <is>
          <t>ID</t>
        </is>
      </c>
      <c r="B5" s="3" t="inlineStr">
        <is>
          <t>Scale (wet t/d)</t>
        </is>
      </c>
      <c r="C5" s="3" t="inlineStr">
        <is>
          <t>TCI ($M)</t>
        </is>
      </c>
      <c r="D5" s="3" t="inlineStr">
        <is>
          <t>Annual CAPEX ($M/yr)</t>
        </is>
      </c>
      <c r="E5" s="3" t="inlineStr">
        <is>
          <t>CAPEX ($/t-yr)</t>
        </is>
      </c>
      <c r="F5" s="3" t="inlineStr">
        <is>
          <t>beta</t>
        </is>
      </c>
      <c r="G5" s="3" t="inlineStr">
        <is>
          <t>USD</t>
        </is>
      </c>
      <c r="H5" s="3" t="inlineStr">
        <is>
          <t>Confidence</t>
        </is>
      </c>
      <c r="I5" s="3" t="inlineStr">
        <is>
          <t>Primary Source</t>
        </is>
      </c>
    </row>
    <row r="6" ht="27.6" customHeight="1" s="22">
      <c r="A6" s="11" t="n">
        <v>1</v>
      </c>
      <c r="B6" s="11" t="n">
        <v>100</v>
      </c>
      <c r="C6" s="11" t="n">
        <v>0.8</v>
      </c>
      <c r="D6" s="11" t="n">
        <v>0.094</v>
      </c>
      <c r="E6" s="11" t="n">
        <v>28.48</v>
      </c>
      <c r="F6" s="11" t="n">
        <v>0.6</v>
      </c>
      <c r="G6" s="11" t="n">
        <v>2020</v>
      </c>
      <c r="H6" s="6" t="inlineStr">
        <is>
          <t>MEDIUM</t>
        </is>
      </c>
      <c r="I6" s="6" t="inlineStr">
        <is>
          <t>Mujumdar 2014, Handbook of Industrial Drying, 4th ed., CRC Press Ch.7 (rotary dryer design, chapter author: Krokida et al.)</t>
        </is>
      </c>
    </row>
    <row r="7" ht="41.4" customHeight="1" s="22">
      <c r="A7" s="9" t="n">
        <v>2</v>
      </c>
      <c r="B7" s="9" t="n">
        <v>500</v>
      </c>
      <c r="C7" s="9" t="n">
        <v>2.5</v>
      </c>
      <c r="D7" s="9" t="n">
        <v>0.294</v>
      </c>
      <c r="E7" s="9" t="n">
        <v>15.15</v>
      </c>
      <c r="F7" s="9" t="n">
        <v>0.6</v>
      </c>
      <c r="G7" s="9" t="n">
        <v>2020</v>
      </c>
      <c r="H7" s="4" t="inlineStr">
        <is>
          <t>HIGH</t>
        </is>
      </c>
      <c r="I7" s="4" t="inlineStr">
        <is>
          <t>Mujumdar 2014 Ch.7; Gebreegziabher et al. 2014, Chem Eng Res Des 92(8):1412. doi:10.1016/j.cherd.2014.04.013 [JOURNAL CORRECTED from Energy Convers Manage]</t>
        </is>
      </c>
    </row>
    <row r="8" ht="27.6" customHeight="1" s="22">
      <c r="A8" s="11" t="n">
        <v>3</v>
      </c>
      <c r="B8" s="11" t="n">
        <v>2000</v>
      </c>
      <c r="C8" s="11" t="n">
        <v>7</v>
      </c>
      <c r="D8" s="11" t="n">
        <v>0.823</v>
      </c>
      <c r="E8" s="11" t="n">
        <v>10.61</v>
      </c>
      <c r="F8" s="11" t="n">
        <v>0.6</v>
      </c>
      <c r="G8" s="11" t="n">
        <v>2020</v>
      </c>
      <c r="H8" s="6" t="inlineStr">
        <is>
          <t>HIGH</t>
        </is>
      </c>
      <c r="I8" s="6" t="inlineStr">
        <is>
          <t>Roberts et al. 2010, EST 44(2):827. doi:10.1021/es902266r. Scaled from pre-processing hub (546 t/d, $1.1M) via beta=0.6.</t>
        </is>
      </c>
    </row>
    <row r="10" ht="15" customHeight="1" s="22">
      <c r="A10" s="14" t="inlineStr">
        <is>
          <t>B. Dehydration (T1) OPEX</t>
        </is>
      </c>
    </row>
    <row r="11" ht="27.6" customHeight="1" s="22">
      <c r="A11" s="3" t="inlineStr">
        <is>
          <t>ID</t>
        </is>
      </c>
      <c r="B11" s="3" t="inlineStr">
        <is>
          <t>Technology</t>
        </is>
      </c>
      <c r="C11" s="3" t="inlineStr">
        <is>
          <t>OPEX ($/dry t)</t>
        </is>
      </c>
      <c r="D11" s="3" t="inlineStr">
        <is>
          <t>Energy ($/t)</t>
        </is>
      </c>
      <c r="E11" s="3" t="inlineStr">
        <is>
          <t>Maintenance ($/t)</t>
        </is>
      </c>
      <c r="F11" s="3" t="inlineStr">
        <is>
          <t>Labour ($/t)</t>
        </is>
      </c>
      <c r="G11" s="3" t="inlineStr">
        <is>
          <t>Energy (GJ/t H2O)</t>
        </is>
      </c>
      <c r="H11" s="3" t="inlineStr">
        <is>
          <t>Primary Source</t>
        </is>
      </c>
      <c r="I11" s="3" t="inlineStr">
        <is>
          <t>Notes</t>
        </is>
      </c>
    </row>
    <row r="12" ht="96.59999999999999" customHeight="1" s="22">
      <c r="A12" s="11" t="n">
        <v>1</v>
      </c>
      <c r="B12" s="6" t="inlineStr">
        <is>
          <t>Rotary Drum (Ag residues, MC 12-20%)</t>
        </is>
      </c>
      <c r="C12" s="6" t="inlineStr">
        <is>
          <t>8-15</t>
        </is>
      </c>
      <c r="D12" s="11" t="n">
        <v>5</v>
      </c>
      <c r="E12" s="11" t="n">
        <v>2</v>
      </c>
      <c r="F12" s="11" t="n">
        <v>3</v>
      </c>
      <c r="G12" s="6" t="inlineStr">
        <is>
          <t>3.5-4.5</t>
        </is>
      </c>
      <c r="H12" s="6" t="inlineStr">
        <is>
          <t>Gebreegziabher et al. 2014; Roberts et al. 2010; Brammer &amp; Bridgwater 1999 RSER</t>
        </is>
      </c>
      <c r="I12" s="6" t="inlineStr">
        <is>
          <t>Lower energy cost: less water to remove</t>
        </is>
      </c>
    </row>
    <row r="13" ht="124.2" customHeight="1" s="22">
      <c r="A13" s="9" t="n">
        <v>2</v>
      </c>
      <c r="B13" s="4" t="inlineStr">
        <is>
          <t>Rotary Drum (Forest residues, MC 35-50%)</t>
        </is>
      </c>
      <c r="C13" s="4" t="inlineStr">
        <is>
          <t>15-25</t>
        </is>
      </c>
      <c r="D13" s="9" t="n">
        <v>10</v>
      </c>
      <c r="E13" s="9" t="n">
        <v>3</v>
      </c>
      <c r="F13" s="9" t="n">
        <v>4</v>
      </c>
      <c r="G13" s="4" t="inlineStr">
        <is>
          <t>4.0-5.0</t>
        </is>
      </c>
      <c r="H13" s="4" t="inlineStr">
        <is>
          <t>Fagernas et al. 2010, Biomass Bioenergy 34(9):1267. doi:10.1016/j.biombioe.2010.04.005 [DOI CORRECTED]</t>
        </is>
      </c>
      <c r="I13" s="4" t="inlineStr">
        <is>
          <t>Higher cost: more water, longer residence time</t>
        </is>
      </c>
    </row>
    <row r="15" ht="15" customHeight="1" s="22">
      <c r="A15" s="14" t="inlineStr">
        <is>
          <t>C. Slow Pyrolysis (T2) — 300°C, Corn Stover baseline (ADVISOR CONFIRMED)</t>
        </is>
      </c>
    </row>
    <row r="16" ht="27.6" customHeight="1" s="22">
      <c r="A16" s="3" t="inlineStr">
        <is>
          <t>Parameter</t>
        </is>
      </c>
      <c r="B16" s="3" t="inlineStr">
        <is>
          <t>Value</t>
        </is>
      </c>
      <c r="C16" s="3" t="inlineStr">
        <is>
          <t>Unit</t>
        </is>
      </c>
      <c r="D16" s="3" t="inlineStr">
        <is>
          <t>Source (DOI)</t>
        </is>
      </c>
    </row>
    <row r="17" ht="96.59999999999999" customHeight="1" s="22">
      <c r="A17" s="4" t="inlineStr">
        <is>
          <t>Temperature</t>
        </is>
      </c>
      <c r="B17" s="4" t="inlineStr">
        <is>
          <t>300</t>
        </is>
      </c>
      <c r="C17" s="4" t="inlineStr">
        <is>
          <t>°C</t>
        </is>
      </c>
      <c r="D17" s="4" t="inlineStr">
        <is>
          <t>Advisor-confirmed project baseline (2026-06-20). NOTE 2026-09-03: Roberts 2010 is a 450 C slow-pyrolysis LCA and contains no 300 C case.</t>
        </is>
      </c>
    </row>
    <row r="18" ht="82.8" customHeight="1" s="22">
      <c r="A18" s="6" t="inlineStr">
        <is>
          <t>Biochar yield</t>
        </is>
      </c>
      <c r="B18" s="6" t="inlineStr">
        <is>
          <t>0.38</t>
        </is>
      </c>
      <c r="C18" s="6" t="inlineStr">
        <is>
          <t>t biochar / t dry biomass</t>
        </is>
      </c>
      <c r="D18" s="6" t="inlineStr">
        <is>
          <t>V9 technology table (Biochar_Supply_Chain_Data_V9.xlsx sheet 02); advisor-confirmed baseline. Roberts 2010/Woolf 2010 contain no such table (audit 2026-09-03).</t>
        </is>
      </c>
    </row>
    <row r="19" ht="55.2" customHeight="1" s="22">
      <c r="A19" s="4" t="inlineStr">
        <is>
          <t>Biochar C content</t>
        </is>
      </c>
      <c r="B19" s="4" t="inlineStr">
        <is>
          <t>0.45</t>
        </is>
      </c>
      <c r="C19" s="4" t="inlineStr">
        <is>
          <t>g C / g biochar</t>
        </is>
      </c>
      <c r="D19" s="4" t="inlineStr">
        <is>
          <t>Rafiq et al. 2016, PLOS ONE 11:e0156894 (300 C char C = 45.5%). [replaced 'Roberts 2010 Fig.2' citation]</t>
        </is>
      </c>
    </row>
    <row r="20" ht="69" customHeight="1" s="22">
      <c r="A20" s="6" t="inlineStr">
        <is>
          <t>H/C molar ratio</t>
        </is>
      </c>
      <c r="B20" s="6" t="n">
        <v>1.4</v>
      </c>
      <c r="C20" s="6" t="inlineStr">
        <is>
          <t>—</t>
        </is>
      </c>
      <c r="D20" s="6" t="inlineStr">
        <is>
          <t>Rafiq et al. 2016 (300 C H/C = 1.41); Ippolito et al. 2020, Biochar 2:421-438, doi:10.1007/s42773-020-00067-x. [replaced 'Woolf 2010 Table S2' citation; corrected from 0.65]</t>
        </is>
      </c>
    </row>
    <row r="21" ht="69" customHeight="1" s="22">
      <c r="A21" s="4" t="inlineStr">
        <is>
          <t>Permanence f(T) (WI, T=7°C)</t>
        </is>
      </c>
      <c r="B21" s="4" t="n">
        <v>0.65</v>
      </c>
      <c r="C21" s="4" t="inlineStr">
        <is>
          <t>fraction (100-yr)</t>
        </is>
      </c>
      <c r="D21" s="4" t="inlineStr">
        <is>
          <t>VM0044 v1.2 Table 3 (IPCC 2019 Table 4AP.2): 0.65 for 350-450 C band. [corrected from 0.69 placeholder 2026-09-02]</t>
        </is>
      </c>
    </row>
    <row r="22" ht="82.8" customHeight="1" s="22">
      <c r="A22" s="6" t="inlineStr">
        <is>
          <t>OPEX</t>
        </is>
      </c>
      <c r="B22" s="6" t="inlineStr">
        <is>
          <t>$30</t>
        </is>
      </c>
      <c r="C22" s="6" t="inlineStr">
        <is>
          <t>/t dry biomass</t>
        </is>
      </c>
      <c r="D22" s="6" t="inlineStr">
        <is>
          <t>Shabangu et al. 2014, Fuel 117(Pa):742. doi:10.1016/j.fuel.2013.08.053 [CORRECTED]</t>
        </is>
      </c>
    </row>
    <row r="23" ht="82.8" customHeight="1" s="22">
      <c r="A23" s="4" t="inlineStr">
        <is>
          <t>Biochar price</t>
        </is>
      </c>
      <c r="B23" s="4" t="inlineStr">
        <is>
          <t>$350</t>
        </is>
      </c>
      <c r="C23" s="4" t="inlineStr">
        <is>
          <t>/t</t>
        </is>
      </c>
      <c r="D23" s="4" t="inlineStr">
        <is>
          <t>Galinato et al. 2011; Roberts 2010 MSP $200-300/t; lower grade at 300°C vs 500°C</t>
        </is>
      </c>
    </row>
    <row r="24" ht="55.2" customHeight="1" s="22">
      <c r="A24" s="6" t="inlineStr">
        <is>
          <t>Electricity from syngas</t>
        </is>
      </c>
      <c r="B24" s="6" t="inlineStr">
        <is>
          <t>50-65</t>
        </is>
      </c>
      <c r="C24" s="6" t="inlineStr">
        <is>
          <t>kWh/t dry biomass</t>
        </is>
      </c>
      <c r="D24" s="6" t="inlineStr">
        <is>
          <t>Roberts 2010; less electricity at 300°C vs 500°C (fewer volatiles)</t>
        </is>
      </c>
    </row>
    <row r="25" ht="55.2" customHeight="1" s="22">
      <c r="A25" s="4" t="inlineStr">
        <is>
          <t>Net C sequestration</t>
        </is>
      </c>
      <c r="B25" s="4" t="inlineStr">
        <is>
          <t>-1,072.6</t>
        </is>
      </c>
      <c r="C25" s="4" t="inlineStr">
        <is>
          <t>kg CO2eq / t biochar</t>
        </is>
      </c>
      <c r="D25" s="4" t="inlineStr">
        <is>
          <t>0.45 x 0.65 x 3.667 x 1000 [FORMULA VERIFIED, permanence 0.65]</t>
        </is>
      </c>
    </row>
    <row r="26" ht="69" customHeight="1" s="22">
      <c r="A26" s="6" t="inlineStr">
        <is>
          <t>Net GHG credit (seq+N2O)</t>
        </is>
      </c>
      <c r="B26" s="6" t="inlineStr">
        <is>
          <t>-1,124.6</t>
        </is>
      </c>
      <c r="C26" s="6" t="inlineStr">
        <is>
          <t>kg CO2eq / t biochar</t>
        </is>
      </c>
      <c r="D26" s="6" t="inlineStr">
        <is>
          <t>Seq(-1,072.6) + N2O(-52.0) = -1,124.6 [VERIFIED]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L4" sqref="L4"/>
    </sheetView>
  </sheetViews>
  <sheetFormatPr baseColWidth="8" defaultRowHeight="14.4"/>
  <cols>
    <col width="6" customWidth="1" style="22" min="1" max="1"/>
    <col width="36" customWidth="1" style="22" min="2" max="2"/>
    <col width="12" customWidth="1" style="22" min="3" max="3"/>
    <col width="14" customWidth="1" style="22" min="4" max="4"/>
    <col width="12" customWidth="1" style="22" min="5" max="5"/>
    <col width="14" customWidth="1" style="22" min="6" max="8"/>
    <col width="6" customWidth="1" style="22" min="9" max="9"/>
    <col width="52" customWidth="1" style="22" min="10" max="10"/>
    <col width="14" customWidth="1" style="22" min="11" max="11"/>
  </cols>
  <sheetData>
    <row r="1" ht="18" customHeight="1" s="22">
      <c r="A1" s="24" t="inlineStr">
        <is>
          <t>Moisture Content, Drying &amp; GHG Parameters — 14 Biomass Types (300°C, WI T=7°C)</t>
        </is>
      </c>
    </row>
    <row r="2">
      <c r="A2" s="26" t="inlineStr">
        <is>
          <t>Biochar seq (300°C) = 0.45×0.69×3.667×1000 = -1,138.6 kg CO2eq/t bc — FORMULA VERIFIED. N2O=-52 (Cayuela 2014 meta-analysis). Net=-1,190.6. SmallDiam Trees MC=45% (Roberts 2010+Deng 2024, advisor confirmed).</t>
        </is>
      </c>
    </row>
    <row r="3">
      <c r="B3" t="inlineStr">
        <is>
          <t>v0.3 audit 2026-09-03: 300C H/C corrected to literature band 1.00-1.40 (torrefaction-like -&gt; ALL 300C chars fail the VM0044 H:Corg&lt;=0.7 gate). Removed unverifiable 'Deng 2024 Nat Commun 15:1085' and 'Roberts 300C case' citations. See 03_Data/WI_Working_Files/hc_literature_report.md</t>
        </is>
      </c>
    </row>
    <row r="4" ht="41.4" customHeight="1" s="22">
      <c r="A4" s="3" t="inlineStr">
        <is>
          <t>ID</t>
        </is>
      </c>
      <c r="B4" s="3" t="inlineStr">
        <is>
          <t>Biomass Type</t>
        </is>
      </c>
      <c r="C4" s="3" t="inlineStr">
        <is>
          <t>Category</t>
        </is>
      </c>
      <c r="D4" s="3" t="inlineStr">
        <is>
          <t>MC_initial_%</t>
        </is>
      </c>
      <c r="E4" s="3" t="inlineStr">
        <is>
          <t>MC_target_%</t>
        </is>
      </c>
      <c r="F4" s="3" t="inlineStr">
        <is>
          <t>Drying_Yield</t>
        </is>
      </c>
      <c r="G4" s="3" t="inlineStr">
        <is>
          <t>Weight_Reduction_%</t>
        </is>
      </c>
      <c r="H4" s="3" t="inlineStr">
        <is>
          <t>C_dry</t>
        </is>
      </c>
      <c r="I4" s="3" t="inlineStr">
        <is>
          <t>BC_Yield_300C</t>
        </is>
      </c>
      <c r="J4" s="3" t="inlineStr">
        <is>
          <t>H/C</t>
        </is>
      </c>
      <c r="K4" s="3" t="inlineStr">
        <is>
          <t>Primary Source</t>
        </is>
      </c>
    </row>
    <row r="5" ht="27.6" customHeight="1" s="22">
      <c r="A5" s="9" t="n">
        <v>1</v>
      </c>
      <c r="B5" s="4" t="inlineStr">
        <is>
          <t>Corn Stover</t>
        </is>
      </c>
      <c r="C5" s="4" t="inlineStr">
        <is>
          <t>Ag Residue</t>
        </is>
      </c>
      <c r="D5" s="9" t="n">
        <v>17.5</v>
      </c>
      <c r="E5" s="9" t="n">
        <v>10</v>
      </c>
      <c r="F5" s="9" t="n">
        <v>0.917</v>
      </c>
      <c r="G5" s="9" t="n">
        <v>8.300000000000001</v>
      </c>
      <c r="H5" s="9" t="n">
        <v>0.45</v>
      </c>
      <c r="I5" s="9" t="n">
        <v>0.38</v>
      </c>
      <c r="J5" s="9" t="n">
        <v>1.4</v>
      </c>
      <c r="K5" s="4" t="inlineStr">
        <is>
          <t>Rafiq et al. 2016, PLOS ONE 11:e0156894 (300C H/C=1.41); V9 tech table (yield)</t>
        </is>
      </c>
    </row>
    <row r="6" ht="41.4" customHeight="1" s="22">
      <c r="A6" s="11" t="n">
        <v>2</v>
      </c>
      <c r="B6" s="6" t="inlineStr">
        <is>
          <t>Soybean Straw</t>
        </is>
      </c>
      <c r="C6" s="6" t="inlineStr">
        <is>
          <t>Ag Residue</t>
        </is>
      </c>
      <c r="D6" s="11" t="n">
        <v>14</v>
      </c>
      <c r="E6" s="11" t="n">
        <v>10</v>
      </c>
      <c r="F6" s="11" t="n">
        <v>0.956</v>
      </c>
      <c r="G6" s="11" t="n">
        <v>4.4</v>
      </c>
      <c r="H6" s="11" t="n">
        <v>0.43</v>
      </c>
      <c r="I6" s="11" t="n">
        <v>0.36</v>
      </c>
      <c r="J6" s="11" t="n">
        <v>1.3</v>
      </c>
      <c r="K6" s="6" t="inlineStr">
        <is>
          <t>Ippolito et al. 2020, Biochar 2:421-438, doi:10.1007/s42773-020-00067-x (300C band)</t>
        </is>
      </c>
    </row>
    <row r="7" ht="41.4" customHeight="1" s="22">
      <c r="A7" s="9" t="n">
        <v>3</v>
      </c>
      <c r="B7" s="4" t="inlineStr">
        <is>
          <t>Wheat Straw</t>
        </is>
      </c>
      <c r="C7" s="4" t="inlineStr">
        <is>
          <t>Ag Residue</t>
        </is>
      </c>
      <c r="D7" s="9" t="n">
        <v>12.5</v>
      </c>
      <c r="E7" s="9" t="n">
        <v>10</v>
      </c>
      <c r="F7" s="9" t="n">
        <v>0.972</v>
      </c>
      <c r="G7" s="9" t="n">
        <v>2.8</v>
      </c>
      <c r="H7" s="9" t="n">
        <v>0.42</v>
      </c>
      <c r="I7" s="9" t="n">
        <v>0.35</v>
      </c>
      <c r="J7" s="9" t="n">
        <v>1.25</v>
      </c>
      <c r="K7" s="4" t="inlineStr">
        <is>
          <t>Ippolito et al. 2020, Biochar 2:421-438 (300C band)</t>
        </is>
      </c>
    </row>
    <row r="8" ht="41.4" customHeight="1" s="22">
      <c r="A8" s="11" t="n">
        <v>4</v>
      </c>
      <c r="B8" s="6" t="inlineStr">
        <is>
          <t>Oats Straw</t>
        </is>
      </c>
      <c r="C8" s="6" t="inlineStr">
        <is>
          <t>Ag Residue</t>
        </is>
      </c>
      <c r="D8" s="11" t="n">
        <v>13</v>
      </c>
      <c r="E8" s="11" t="n">
        <v>10</v>
      </c>
      <c r="F8" s="11" t="n">
        <v>0.967</v>
      </c>
      <c r="G8" s="11" t="n">
        <v>3.3</v>
      </c>
      <c r="H8" s="11" t="n">
        <v>0.41</v>
      </c>
      <c r="I8" s="11" t="n">
        <v>0.34</v>
      </c>
      <c r="J8" s="11" t="n">
        <v>1.25</v>
      </c>
      <c r="K8" s="6" t="inlineStr">
        <is>
          <t>Ippolito et al. 2020, Biochar 2:421-438 (300C band)</t>
        </is>
      </c>
    </row>
    <row r="9" ht="41.4" customHeight="1" s="22">
      <c r="A9" s="9" t="n">
        <v>5</v>
      </c>
      <c r="B9" s="4" t="inlineStr">
        <is>
          <t>Barley Straw</t>
        </is>
      </c>
      <c r="C9" s="4" t="inlineStr">
        <is>
          <t>Ag Residue</t>
        </is>
      </c>
      <c r="D9" s="9" t="n">
        <v>12</v>
      </c>
      <c r="E9" s="9" t="n">
        <v>10</v>
      </c>
      <c r="F9" s="9" t="n">
        <v>0.978</v>
      </c>
      <c r="G9" s="9" t="n">
        <v>2.2</v>
      </c>
      <c r="H9" s="9" t="n">
        <v>0.41</v>
      </c>
      <c r="I9" s="9" t="n">
        <v>0.34</v>
      </c>
      <c r="J9" s="9" t="n">
        <v>1.25</v>
      </c>
      <c r="K9" s="4" t="inlineStr">
        <is>
          <t>Ippolito et al. 2020, Biochar 2:421-438 (300C band)</t>
        </is>
      </c>
    </row>
    <row r="10" ht="41.4" customHeight="1" s="22">
      <c r="A10" s="11" t="n">
        <v>6</v>
      </c>
      <c r="B10" s="6" t="inlineStr">
        <is>
          <t>Switchgrass</t>
        </is>
      </c>
      <c r="C10" s="6" t="inlineStr">
        <is>
          <t>Energy Crop</t>
        </is>
      </c>
      <c r="D10" s="11" t="n">
        <v>12.5</v>
      </c>
      <c r="E10" s="11" t="n">
        <v>10</v>
      </c>
      <c r="F10" s="11" t="n">
        <v>0.972</v>
      </c>
      <c r="G10" s="11" t="n">
        <v>2.8</v>
      </c>
      <c r="H10" s="11" t="n">
        <v>0.47</v>
      </c>
      <c r="I10" s="11" t="n">
        <v>0.38</v>
      </c>
      <c r="J10" s="11" t="n">
        <v>1.3</v>
      </c>
      <c r="K10" s="6" t="inlineStr">
        <is>
          <t>Ippolito et al. 2020, Biochar 2:421-438 (300C band)</t>
        </is>
      </c>
    </row>
    <row r="11" ht="41.4" customHeight="1" s="22">
      <c r="A11" s="9" t="n">
        <v>7</v>
      </c>
      <c r="B11" s="4" t="inlineStr">
        <is>
          <t>Miscanthus</t>
        </is>
      </c>
      <c r="C11" s="4" t="inlineStr">
        <is>
          <t>Energy Crop</t>
        </is>
      </c>
      <c r="D11" s="9" t="n">
        <v>15</v>
      </c>
      <c r="E11" s="9" t="n">
        <v>10</v>
      </c>
      <c r="F11" s="9" t="n">
        <v>0.944</v>
      </c>
      <c r="G11" s="9" t="n">
        <v>5.6</v>
      </c>
      <c r="H11" s="9" t="n">
        <v>0.48</v>
      </c>
      <c r="I11" s="9" t="n">
        <v>0.37</v>
      </c>
      <c r="J11" s="9" t="n">
        <v>1.3</v>
      </c>
      <c r="K11" s="4" t="inlineStr">
        <is>
          <t>Ippolito et al. 2020, Biochar 2:421-438 (300C band)</t>
        </is>
      </c>
    </row>
    <row r="12" ht="82.8" customHeight="1" s="22">
      <c r="A12" s="11" t="n">
        <v>8</v>
      </c>
      <c r="B12" s="6" t="inlineStr">
        <is>
          <t>Poplar</t>
        </is>
      </c>
      <c r="C12" s="6" t="inlineStr">
        <is>
          <t>Woody Energy</t>
        </is>
      </c>
      <c r="D12" s="11" t="n">
        <v>45</v>
      </c>
      <c r="E12" s="11" t="n">
        <v>10</v>
      </c>
      <c r="F12" s="11" t="n">
        <v>0.611</v>
      </c>
      <c r="G12" s="11" t="n">
        <v>38.9</v>
      </c>
      <c r="H12" s="11" t="n">
        <v>0.5</v>
      </c>
      <c r="I12" s="11" t="n">
        <v>0.35</v>
      </c>
      <c r="J12" s="11" t="n">
        <v>1.1</v>
      </c>
      <c r="K12" s="6" t="inlineStr">
        <is>
          <t>Brammer &amp; Bridgwater 1999 RSER (MC); Ippolito 2020 (300C H/C band). [Deng 2024 removed: unverifiable]</t>
        </is>
      </c>
    </row>
    <row r="13" ht="82.8" customHeight="1" s="22">
      <c r="A13" s="9" t="n">
        <v>9</v>
      </c>
      <c r="B13" s="4" t="inlineStr">
        <is>
          <t>Willow</t>
        </is>
      </c>
      <c r="C13" s="4" t="inlineStr">
        <is>
          <t>Woody Energy</t>
        </is>
      </c>
      <c r="D13" s="9" t="n">
        <v>45</v>
      </c>
      <c r="E13" s="9" t="n">
        <v>10</v>
      </c>
      <c r="F13" s="9" t="n">
        <v>0.611</v>
      </c>
      <c r="G13" s="9" t="n">
        <v>38.9</v>
      </c>
      <c r="H13" s="9" t="n">
        <v>0.5</v>
      </c>
      <c r="I13" s="9" t="n">
        <v>0.35</v>
      </c>
      <c r="J13" s="9" t="n">
        <v>1.1</v>
      </c>
      <c r="K13" s="4" t="inlineStr">
        <is>
          <t>Brammer &amp; Bridgwater 1999 RSER (MC); Ippolito 2020 (300C H/C band). [Deng 2024 removed: unverifiable]</t>
        </is>
      </c>
    </row>
    <row r="14" ht="69" customHeight="1" s="22">
      <c r="A14" s="11" t="n">
        <v>10</v>
      </c>
      <c r="B14" s="6" t="inlineStr">
        <is>
          <t>Logging Residues (HW+SW)</t>
        </is>
      </c>
      <c r="C14" s="6" t="inlineStr">
        <is>
          <t>Forestry</t>
        </is>
      </c>
      <c r="D14" s="11" t="n">
        <v>42.5</v>
      </c>
      <c r="E14" s="11" t="n">
        <v>10</v>
      </c>
      <c r="F14" s="11" t="n">
        <v>0.639</v>
      </c>
      <c r="G14" s="11" t="n">
        <v>36.1</v>
      </c>
      <c r="H14" s="11" t="n">
        <v>0.49</v>
      </c>
      <c r="I14" s="11" t="n">
        <v>0.33</v>
      </c>
      <c r="J14" s="11" t="n">
        <v>1.05</v>
      </c>
      <c r="K14" s="6" t="inlineStr">
        <is>
          <t>Fagernas et al. 2010, Biomass Bioenergy 34(9):1267 (MC); Ippolito 2020 (H/C band)</t>
        </is>
      </c>
    </row>
    <row r="15" ht="82.8" customHeight="1" s="22">
      <c r="A15" s="9" t="n">
        <v>11</v>
      </c>
      <c r="B15" s="4" t="inlineStr">
        <is>
          <t>Small-Diameter Trees</t>
        </is>
      </c>
      <c r="C15" s="4" t="inlineStr">
        <is>
          <t>Forestry</t>
        </is>
      </c>
      <c r="D15" s="15" t="n">
        <v>45</v>
      </c>
      <c r="E15" s="15" t="n">
        <v>10</v>
      </c>
      <c r="F15" s="15" t="n">
        <v>0.611</v>
      </c>
      <c r="G15" s="15" t="n">
        <v>38.9</v>
      </c>
      <c r="H15" s="9" t="n">
        <v>0.49</v>
      </c>
      <c r="I15" s="9" t="n">
        <v>0.33</v>
      </c>
      <c r="J15" s="9" t="n">
        <v>1.05</v>
      </c>
      <c r="K15" s="4" t="inlineStr">
        <is>
          <t>Roberts 2010 EST 44(2):827 (MC); Ippolito 2020 (H/C band). [Deng 2024 removed: unverifiable]</t>
        </is>
      </c>
    </row>
    <row r="16" ht="27.6" customHeight="1" s="22">
      <c r="A16" s="11" t="n">
        <v>12</v>
      </c>
      <c r="B16" s="6" t="inlineStr">
        <is>
          <t>Mill/Processing Residues</t>
        </is>
      </c>
      <c r="C16" s="6" t="inlineStr">
        <is>
          <t>Forestry</t>
        </is>
      </c>
      <c r="D16" s="11" t="n">
        <v>35</v>
      </c>
      <c r="E16" s="11" t="n">
        <v>10</v>
      </c>
      <c r="F16" s="11" t="n">
        <v>0.722</v>
      </c>
      <c r="G16" s="11" t="n">
        <v>27.8</v>
      </c>
      <c r="H16" s="11" t="n">
        <v>0.5</v>
      </c>
      <c r="I16" s="11" t="n">
        <v>0.34</v>
      </c>
      <c r="J16" s="11" t="n">
        <v>1</v>
      </c>
      <c r="K16" s="6" t="inlineStr">
        <is>
          <t>Ippolito et al. 2020, Biochar 2:421-438 (300C band)</t>
        </is>
      </c>
    </row>
    <row r="17" ht="27.6" customHeight="1" s="22">
      <c r="A17" s="9" t="n">
        <v>13</v>
      </c>
      <c r="B17" s="4" t="inlineStr">
        <is>
          <t>Other Forest Waste</t>
        </is>
      </c>
      <c r="C17" s="4" t="inlineStr">
        <is>
          <t>Forestry</t>
        </is>
      </c>
      <c r="D17" s="9" t="n">
        <v>20</v>
      </c>
      <c r="E17" s="9" t="n">
        <v>10</v>
      </c>
      <c r="F17" s="9" t="n">
        <v>0.889</v>
      </c>
      <c r="G17" s="9" t="n">
        <v>11.1</v>
      </c>
      <c r="H17" s="9" t="n">
        <v>0.47</v>
      </c>
      <c r="I17" s="9" t="n">
        <v>0.35</v>
      </c>
      <c r="J17" s="9" t="n">
        <v>1.15</v>
      </c>
      <c r="K17" s="4" t="inlineStr">
        <is>
          <t>Ippolito et al. 2020, Biochar 2:421-438 (300C band)</t>
        </is>
      </c>
    </row>
    <row r="20" ht="15" customHeight="1" s="22">
      <c r="A20" s="14" t="inlineStr">
        <is>
          <t>GHG Emission Factors (GWP100, kg CO2eq basis)</t>
        </is>
      </c>
    </row>
    <row r="21">
      <c r="A21" s="3" t="inlineStr">
        <is>
          <t>ID</t>
        </is>
      </c>
      <c r="B21" s="3" t="inlineStr">
        <is>
          <t>Process/Parameter</t>
        </is>
      </c>
      <c r="C21" s="3" t="inlineStr">
        <is>
          <t>Low</t>
        </is>
      </c>
      <c r="D21" s="3" t="inlineStr">
        <is>
          <t>Central</t>
        </is>
      </c>
      <c r="E21" s="3" t="inlineStr">
        <is>
          <t>High</t>
        </is>
      </c>
      <c r="F21" s="3" t="inlineStr">
        <is>
          <t>Unit</t>
        </is>
      </c>
      <c r="G21" s="3" t="inlineStr">
        <is>
          <t>Sign</t>
        </is>
      </c>
      <c r="H21" s="3" t="inlineStr">
        <is>
          <t>Source</t>
        </is>
      </c>
    </row>
    <row r="22" ht="27.6" customHeight="1" s="22">
      <c r="A22" s="11" t="n">
        <v>1</v>
      </c>
      <c r="B22" s="6" t="inlineStr">
        <is>
          <t>Truck transport (32t)</t>
        </is>
      </c>
      <c r="C22" s="6" t="inlineStr">
        <is>
          <t>0</t>
        </is>
      </c>
      <c r="D22" s="6" t="inlineStr">
        <is>
          <t>0.0902</t>
        </is>
      </c>
      <c r="E22" s="6" t="inlineStr">
        <is>
          <t>0.120</t>
        </is>
      </c>
      <c r="F22" s="6" t="inlineStr">
        <is>
          <t>kg CO2eq/t·km</t>
        </is>
      </c>
      <c r="G22" s="6" t="inlineStr">
        <is>
          <t>+</t>
        </is>
      </c>
      <c r="H22" s="6" t="inlineStr">
        <is>
          <t>Wernet 2016 Int J LCA 21:1218</t>
        </is>
      </c>
    </row>
    <row r="23" ht="27.6" customHeight="1" s="22">
      <c r="A23" s="9" t="n">
        <v>2</v>
      </c>
      <c r="B23" s="4" t="inlineStr">
        <is>
          <t>Collection &amp; baling</t>
        </is>
      </c>
      <c r="C23" s="4" t="inlineStr">
        <is>
          <t>28</t>
        </is>
      </c>
      <c r="D23" s="4" t="inlineStr">
        <is>
          <t>35</t>
        </is>
      </c>
      <c r="E23" s="4" t="inlineStr">
        <is>
          <t>42</t>
        </is>
      </c>
      <c r="F23" s="4" t="inlineStr">
        <is>
          <t>kg CO2eq/t dry biomass</t>
        </is>
      </c>
      <c r="G23" s="4" t="inlineStr">
        <is>
          <t>+</t>
        </is>
      </c>
      <c r="H23" s="4" t="inlineStr">
        <is>
          <t>Yue 2014 I&amp;ECR 53:4008</t>
        </is>
      </c>
    </row>
    <row r="24" ht="41.4" customHeight="1" s="22">
      <c r="A24" s="11" t="n">
        <v>3</v>
      </c>
      <c r="B24" s="6" t="inlineStr">
        <is>
          <t>Dehydration (NG dryer)</t>
        </is>
      </c>
      <c r="C24" s="6" t="inlineStr">
        <is>
          <t>18</t>
        </is>
      </c>
      <c r="D24" s="6" t="inlineStr">
        <is>
          <t>25</t>
        </is>
      </c>
      <c r="E24" s="6" t="inlineStr">
        <is>
          <t>32</t>
        </is>
      </c>
      <c r="F24" s="6" t="inlineStr">
        <is>
          <t>kg CO2eq/t H2O removed</t>
        </is>
      </c>
      <c r="G24" s="6" t="inlineStr">
        <is>
          <t>+</t>
        </is>
      </c>
      <c r="H24" s="6" t="inlineStr">
        <is>
          <t>Gebreegziabher 2014; Roberts 2010</t>
        </is>
      </c>
    </row>
    <row r="25" ht="41.4" customHeight="1" s="22">
      <c r="A25" s="9" t="n">
        <v>4</v>
      </c>
      <c r="B25" s="4" t="inlineStr">
        <is>
          <t>Slow pyrolysis 300°C</t>
        </is>
      </c>
      <c r="C25" s="4" t="inlineStr">
        <is>
          <t>120</t>
        </is>
      </c>
      <c r="D25" s="4" t="inlineStr">
        <is>
          <t>150</t>
        </is>
      </c>
      <c r="E25" s="4" t="inlineStr">
        <is>
          <t>180</t>
        </is>
      </c>
      <c r="F25" s="4" t="inlineStr">
        <is>
          <t>kg CO2eq/t dry biomass</t>
        </is>
      </c>
      <c r="G25" s="4" t="inlineStr">
        <is>
          <t>+</t>
        </is>
      </c>
      <c r="H25" s="4" t="inlineStr">
        <is>
          <t>Project TEA assumption (net of 50-65 kWh/t syngas electricity credit); Roberts 2010 is a 450C LCA - no 300C case exists (audit 2026-09-03)</t>
        </is>
      </c>
    </row>
    <row r="26" ht="55.2" customHeight="1" s="22">
      <c r="A26" s="11" t="n">
        <v>5</v>
      </c>
      <c r="B26" s="6" t="inlineStr">
        <is>
          <t>Biochar C seq (300°C, WI)</t>
        </is>
      </c>
      <c r="C26" s="6" t="inlineStr">
        <is>
          <t>-1,024</t>
        </is>
      </c>
      <c r="D26" s="6" t="inlineStr">
        <is>
          <t>-1,138.6</t>
        </is>
      </c>
      <c r="E26" s="6" t="inlineStr">
        <is>
          <t>-1,253</t>
        </is>
      </c>
      <c r="F26" s="6" t="inlineStr">
        <is>
          <t>kg CO2eq/t biochar</t>
        </is>
      </c>
      <c r="G26" s="6" t="inlineStr">
        <is>
          <t>-</t>
        </is>
      </c>
      <c r="H26" s="6" t="inlineStr">
        <is>
          <t>0.45×0.69×3.667×1000=-1,138.6 [FORMULA VERIFIED]</t>
        </is>
      </c>
    </row>
    <row r="27" ht="41.4" customHeight="1" s="22">
      <c r="A27" s="9" t="n">
        <v>6</v>
      </c>
      <c r="B27" s="4" t="inlineStr">
        <is>
          <t>N2O suppression</t>
        </is>
      </c>
      <c r="C27" s="4" t="inlineStr">
        <is>
          <t>-30</t>
        </is>
      </c>
      <c r="D27" s="4" t="inlineStr">
        <is>
          <t>-52</t>
        </is>
      </c>
      <c r="E27" s="4" t="inlineStr">
        <is>
          <t>-78</t>
        </is>
      </c>
      <c r="F27" s="4" t="inlineStr">
        <is>
          <t>kg CO2eq/t biochar</t>
        </is>
      </c>
      <c r="G27" s="4" t="inlineStr">
        <is>
          <t>-</t>
        </is>
      </c>
      <c r="H27" s="4" t="inlineStr">
        <is>
          <t>Cayuela 2014 Agric Ecosyst Environ 191:5</t>
        </is>
      </c>
    </row>
    <row r="28" ht="27.6" customHeight="1" s="22">
      <c r="A28" s="11" t="n">
        <v>7</v>
      </c>
      <c r="B28" s="6" t="inlineStr">
        <is>
          <t>Net biochar credit</t>
        </is>
      </c>
      <c r="C28" s="6" t="inlineStr">
        <is>
          <t>-1,054</t>
        </is>
      </c>
      <c r="D28" s="6" t="inlineStr">
        <is>
          <t>-1,190.6</t>
        </is>
      </c>
      <c r="E28" s="6" t="inlineStr">
        <is>
          <t>-1,331</t>
        </is>
      </c>
      <c r="F28" s="6" t="inlineStr">
        <is>
          <t>kg CO2eq/t biochar</t>
        </is>
      </c>
      <c r="G28" s="6" t="inlineStr">
        <is>
          <t>-</t>
        </is>
      </c>
      <c r="H28" s="6" t="inlineStr">
        <is>
          <t>Row5+Row6 [VERIFIED]</t>
        </is>
      </c>
    </row>
    <row r="29" ht="41.4" customHeight="1" s="22">
      <c r="A29" s="9" t="n">
        <v>8</v>
      </c>
      <c r="B29" s="4" t="inlineStr">
        <is>
          <t>Electricity credit (syngas)</t>
        </is>
      </c>
      <c r="C29" s="4" t="inlineStr">
        <is>
          <t>-120</t>
        </is>
      </c>
      <c r="D29" s="4" t="inlineStr">
        <is>
          <t>-200</t>
        </is>
      </c>
      <c r="E29" s="4" t="inlineStr">
        <is>
          <t>-280</t>
        </is>
      </c>
      <c r="F29" s="4" t="inlineStr">
        <is>
          <t>kg CO2eq/t dry biomass</t>
        </is>
      </c>
      <c r="G29" s="4" t="inlineStr">
        <is>
          <t>-</t>
        </is>
      </c>
      <c r="H29" s="4" t="inlineStr">
        <is>
          <t>Roberts 2010; WI MISO grid 0.57 kg/kWh</t>
        </is>
      </c>
    </row>
    <row r="30" ht="41.4" customHeight="1" s="22">
      <c r="A30" s="11" t="n">
        <v>9</v>
      </c>
      <c r="B30" s="6" t="inlineStr">
        <is>
          <t>WI grid electricity</t>
        </is>
      </c>
      <c r="C30" s="6" t="inlineStr">
        <is>
          <t>—</t>
        </is>
      </c>
      <c r="D30" s="6" t="inlineStr">
        <is>
          <t>0.57</t>
        </is>
      </c>
      <c r="E30" s="6" t="inlineStr">
        <is>
          <t>—</t>
        </is>
      </c>
      <c r="F30" s="6" t="inlineStr">
        <is>
          <t>kg CO2eq/kWh</t>
        </is>
      </c>
      <c r="G30" s="6" t="inlineStr">
        <is>
          <t>+</t>
        </is>
      </c>
      <c r="H30" s="6" t="inlineStr">
        <is>
          <t>US EIA WI Profile 2022, MISO-MW subregion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8"/>
  <sheetViews>
    <sheetView tabSelected="1" workbookViewId="0">
      <selection activeCell="G18" sqref="G18"/>
    </sheetView>
  </sheetViews>
  <sheetFormatPr baseColWidth="8" defaultRowHeight="14.4"/>
  <cols>
    <col width="8" customWidth="1" style="22" min="1" max="1"/>
    <col width="78" customWidth="1" style="22" min="2" max="2"/>
    <col width="22" customWidth="1" style="22" min="3" max="3"/>
    <col width="8" customWidth="1" style="22" min="4" max="4"/>
    <col width="52" customWidth="1" style="22" min="5" max="5"/>
    <col width="10" customWidth="1" style="22" min="6" max="6"/>
    <col width="52" customWidth="1" style="22" min="7" max="7"/>
  </cols>
  <sheetData>
    <row r="1" ht="18" customHeight="1" s="22">
      <c r="A1" s="24" t="inlineStr">
        <is>
          <t>Bibliography — Wisconsin Biochar Supply Chain (14 Refs, ALL DOIs VERIFIED 2026-06-20)</t>
        </is>
      </c>
    </row>
    <row r="2">
      <c r="A2" s="23" t="inlineStr">
        <is>
          <t>CORRECTIONS vs V1: [R4] Shabangu=Fuel 117:742 (not Energy 66 — fabricated); [R6] Searcy DOI ends in -8; [R8] BT23 Ch.5=doi:10.23720/BT2023/2282885; [R9] BT23 Ch.4=doi:10.23720/BT2023/2281324; [R13] Fagernäs DOI corrected; [R14] Gebreegziabher journal corrected to Chem Eng Res Des.</t>
        </is>
      </c>
    </row>
    <row r="4">
      <c r="A4" s="3" t="inlineStr">
        <is>
          <t>Ref</t>
        </is>
      </c>
      <c r="B4" s="3" t="inlineStr">
        <is>
          <t>Full Citation</t>
        </is>
      </c>
      <c r="C4" s="3" t="inlineStr">
        <is>
          <t>Journal</t>
        </is>
      </c>
      <c r="D4" s="3" t="inlineStr">
        <is>
          <t>Year</t>
        </is>
      </c>
      <c r="E4" s="3" t="inlineStr">
        <is>
          <t>Contribution</t>
        </is>
      </c>
      <c r="F4" s="3" t="inlineStr">
        <is>
          <t>Used In</t>
        </is>
      </c>
      <c r="G4" s="3" t="inlineStr">
        <is>
          <t>DOI</t>
        </is>
      </c>
    </row>
    <row r="5" ht="27.6" customHeight="1" s="22">
      <c r="A5" s="4" t="inlineStr">
        <is>
          <t>[R1]</t>
        </is>
      </c>
      <c r="B5" s="4" t="inlineStr">
        <is>
          <t>Woolf, D., Amonette, J.E., Street-Perrott, F.A., Lehmann, J., Joseph, S. (2010). Sustainable biochar to mitigate global climate change. Nature Communications, 1, 56.</t>
        </is>
      </c>
      <c r="C5" s="4" t="inlineStr">
        <is>
          <t>Nature Comms</t>
        </is>
      </c>
      <c r="D5" s="4" t="n">
        <v>2010</v>
      </c>
      <c r="E5" s="4" t="inlineStr">
        <is>
          <t>Biochar yields, C content (all temps), residue-to-grain ratios</t>
        </is>
      </c>
      <c r="F5" s="4" t="inlineStr">
        <is>
          <t>04</t>
        </is>
      </c>
      <c r="G5" s="19" t="inlineStr">
        <is>
          <t>https://doi.org/10.1038/ncomms1053</t>
        </is>
      </c>
    </row>
    <row r="6" ht="27.6" customHeight="1" s="22">
      <c r="A6" s="6" t="inlineStr">
        <is>
          <t>[R2]</t>
        </is>
      </c>
      <c r="B6" s="6" t="inlineStr">
        <is>
          <t>Woolf, D., Lehmann, J., Ogle, S. et al. (2021). Greenhouse Gas Inventory Model for Biochar Additions to Soil. Environmental Science &amp; Technology, 55(21), 14795-14805.</t>
        </is>
      </c>
      <c r="C6" s="6" t="inlineStr">
        <is>
          <t>EST</t>
        </is>
      </c>
      <c r="D6" s="6" t="n">
        <v>2021</v>
      </c>
      <c r="E6" s="6" t="inlineStr">
        <is>
          <t>Temperature-dependent permanence f(T). WI T=7°C → f=0.69</t>
        </is>
      </c>
      <c r="F6" s="6" t="inlineStr">
        <is>
          <t>04</t>
        </is>
      </c>
      <c r="G6" s="20" t="inlineStr">
        <is>
          <t>https://doi.org/10.1021/acs.est.1c02425</t>
        </is>
      </c>
    </row>
    <row r="7" ht="27.6" customHeight="1" s="22">
      <c r="A7" s="4" t="inlineStr">
        <is>
          <t>[R3]</t>
        </is>
      </c>
      <c r="B7" s="4" t="inlineStr">
        <is>
          <t>Roberts, K.G., Gloy, B.A., Joseph, S., Scott, N.R., Lehmann, J. (2010). Life Cycle Assessment of Biochar Systems. Environmental Science &amp; Technology, 44(2), 827-833.</t>
        </is>
      </c>
      <c r="C7" s="4" t="inlineStr">
        <is>
          <t>EST</t>
        </is>
      </c>
      <c r="D7" s="4" t="n">
        <v>2010</v>
      </c>
      <c r="E7" s="4" t="inlineStr">
        <is>
          <t>Slow pyrolysis LCA/TEA; CAPEX; OPEX; yield; moisture</t>
        </is>
      </c>
      <c r="F7" s="4" t="inlineStr">
        <is>
          <t>03,04</t>
        </is>
      </c>
      <c r="G7" s="19" t="inlineStr">
        <is>
          <t>https://doi.org/10.1021/es902266r</t>
        </is>
      </c>
    </row>
    <row r="8" ht="27.6" customHeight="1" s="22">
      <c r="A8" s="6" t="inlineStr">
        <is>
          <t>[R4]</t>
        </is>
      </c>
      <c r="B8" s="6" t="inlineStr">
        <is>
          <t>Shabangu, S., Woolf, D., Fisher, E.M., Angenent, L.T., Lehmann, J. (2014). Techno-economic assessment of biomass slow pyrolysis. Fuel, 117(Part A), 742-748.</t>
        </is>
      </c>
      <c r="C8" s="6" t="inlineStr">
        <is>
          <t>Fuel</t>
        </is>
      </c>
      <c r="D8" s="6" t="n">
        <v>2014</v>
      </c>
      <c r="E8" s="6" t="inlineStr">
        <is>
          <t>Slow pyrolysis CAPEX Table 2; OPEX [CORRECTED from V1 Energy 66 fabricated]</t>
        </is>
      </c>
      <c r="F8" s="6" t="inlineStr">
        <is>
          <t>03</t>
        </is>
      </c>
      <c r="G8" s="20" t="inlineStr">
        <is>
          <t>https://doi.org/10.1016/j.fuel.2013.08.053</t>
        </is>
      </c>
    </row>
    <row r="9" ht="27.6" customHeight="1" s="22">
      <c r="A9" s="4" t="inlineStr">
        <is>
          <t>[R5]</t>
        </is>
      </c>
      <c r="B9" s="4" t="inlineStr">
        <is>
          <t>Cayuela, M.L. et al. (2014). Biochar role in mitigating soil N2O emissions: A review and meta-analysis. Agriculture, Ecosystems &amp; Environment, 191, 5-16.</t>
        </is>
      </c>
      <c r="C9" s="4" t="inlineStr">
        <is>
          <t>Agric Ecosyst Environ</t>
        </is>
      </c>
      <c r="D9" s="4" t="n">
        <v>2014</v>
      </c>
      <c r="E9" s="4" t="inlineStr">
        <is>
          <t>N2O reduction 54% (57 studies meta-analysis); -52 kg CO2eq/t bc</t>
        </is>
      </c>
      <c r="F9" s="4" t="inlineStr">
        <is>
          <t>04</t>
        </is>
      </c>
      <c r="G9" s="19" t="inlineStr">
        <is>
          <t>https://doi.org/10.1016/j.agee.2013.10.009</t>
        </is>
      </c>
    </row>
    <row r="10" ht="27.6" customHeight="1" s="22">
      <c r="A10" s="6" t="inlineStr">
        <is>
          <t>[R6]</t>
        </is>
      </c>
      <c r="B10" s="6" t="inlineStr">
        <is>
          <t>Searcy, E., Flynn, P., Ghafoori, E., Kumar, A. (2007). The Relative Cost of Biomass Energy Transport. Applied Biochemistry and Biotechnology, 137, 639-652.</t>
        </is>
      </c>
      <c r="C10" s="6" t="inlineStr">
        <is>
          <t>Appl Biochem Biotechnol</t>
        </is>
      </c>
      <c r="D10" s="6" t="n">
        <v>2007</v>
      </c>
      <c r="E10" s="6" t="inlineStr">
        <is>
          <t>Truck transport: fixed $3.01/t, variable $0.070/t/km [DOI CORRECTED]</t>
        </is>
      </c>
      <c r="F10" s="6" t="inlineStr">
        <is>
          <t>03</t>
        </is>
      </c>
      <c r="G10" s="20" t="inlineStr">
        <is>
          <t>https://doi.org/10.1007/s12010-007-9085-8</t>
        </is>
      </c>
    </row>
    <row r="11" ht="27.6" customHeight="1" s="22">
      <c r="A11" s="4" t="inlineStr">
        <is>
          <t>[R7]</t>
        </is>
      </c>
      <c r="B11" s="4" t="inlineStr">
        <is>
          <t>Wernet, G. et al. (2016). The ecoinvent database version 3 (part I). International Journal of LCA, 21(9), 1218-1230.</t>
        </is>
      </c>
      <c r="C11" s="4" t="inlineStr">
        <is>
          <t>Int J LCA</t>
        </is>
      </c>
      <c r="D11" s="4" t="n">
        <v>2016</v>
      </c>
      <c r="E11" s="4" t="inlineStr">
        <is>
          <t>Transport GHG 0.0902 kg CO2eq/t·km (lorry 16-32t EURO5)</t>
        </is>
      </c>
      <c r="F11" s="4" t="inlineStr">
        <is>
          <t>04</t>
        </is>
      </c>
      <c r="G11" s="19" t="inlineStr">
        <is>
          <t>https://doi.org/10.1007/s11367-016-1087-8</t>
        </is>
      </c>
    </row>
    <row r="12" ht="27.6" customHeight="1" s="22">
      <c r="A12" s="6" t="inlineStr">
        <is>
          <t>[R8]</t>
        </is>
      </c>
      <c r="B12" s="16" t="inlineStr">
        <is>
          <t>Hellwinckel, C., de la Torre Ugarte, D., Field, J.L., Langholtz, M. (2024). BT23 Ch.5: Biomass from the Agricultural Land Base. DOE/ORNL.</t>
        </is>
      </c>
      <c r="C12" s="6" t="inlineStr">
        <is>
          <t>DOE/ORNL BT23</t>
        </is>
      </c>
      <c r="D12" s="6" t="n">
        <v>2024</v>
      </c>
      <c r="E12" s="6" t="inlineStr">
        <is>
          <t>County corn stover, Miscanthus, Switchgrass, Willow, Poplar (WI, $70/dt) [DOI CORRECTED]</t>
        </is>
      </c>
      <c r="F12" s="6" t="inlineStr">
        <is>
          <t>01</t>
        </is>
      </c>
      <c r="G12" s="20" t="inlineStr">
        <is>
          <t>https://doi.org/10.23720/BT2023/2282885</t>
        </is>
      </c>
    </row>
    <row r="13">
      <c r="A13" s="4" t="inlineStr">
        <is>
          <t>[R9]</t>
        </is>
      </c>
      <c r="B13" s="17" t="inlineStr">
        <is>
          <t>Davis, M. et al. (2024). BT23 Ch.4: Biomass from the Forested Land Base. DOE/ORNL.</t>
        </is>
      </c>
      <c r="C13" s="4" t="inlineStr">
        <is>
          <t>DOE/ORNL BT23</t>
        </is>
      </c>
      <c r="D13" s="4" t="n">
        <v>2024</v>
      </c>
      <c r="E13" s="4" t="inlineStr">
        <is>
          <t>County forest residues (logging, small-diam, mill, waste)</t>
        </is>
      </c>
      <c r="F13" s="4" t="inlineStr">
        <is>
          <t>01</t>
        </is>
      </c>
      <c r="G13" s="19" t="inlineStr">
        <is>
          <t>https://doi.org/10.23720/BT2023/2281324</t>
        </is>
      </c>
    </row>
    <row r="14" ht="27.6" customHeight="1" s="22">
      <c r="A14" s="6" t="inlineStr">
        <is>
          <t>[R10]</t>
        </is>
      </c>
      <c r="B14" s="16" t="inlineStr">
        <is>
          <t>You, F., Tao, L., Graziano, D.J., Snyder, S.W. (2012). Optimal design of sustainable cellulosic biofuel supply chains. AIChE Journal, 58(4), 1157-1180.</t>
        </is>
      </c>
      <c r="C14" s="6" t="inlineStr">
        <is>
          <t>AIChE J</t>
        </is>
      </c>
      <c r="D14" s="6" t="n">
        <v>2012</v>
      </c>
      <c r="E14" s="6" t="inlineStr">
        <is>
          <t>Methodology template: MILP, multi-obj, Fig.6 data sources</t>
        </is>
      </c>
      <c r="F14" s="6" t="inlineStr">
        <is>
          <t>Method</t>
        </is>
      </c>
      <c r="G14" s="20" t="inlineStr">
        <is>
          <t>https://doi.org/10.1002/aic.12637</t>
        </is>
      </c>
    </row>
    <row r="15" ht="27.6" customHeight="1" s="22">
      <c r="A15" s="4" t="inlineStr">
        <is>
          <t>[R11]</t>
        </is>
      </c>
      <c r="B15" s="4" t="inlineStr">
        <is>
          <t>Zhao, N., You, F. (2020). Can renewable generation ... enable carbon neutral energy transition? Applied Energy, 279, 115889.</t>
        </is>
      </c>
      <c r="C15" s="4" t="inlineStr">
        <is>
          <t>Applied Energy</t>
        </is>
      </c>
      <c r="D15" s="4" t="n">
        <v>2020</v>
      </c>
      <c r="E15" s="4" t="inlineStr">
        <is>
          <t>GHG accounting methodology; carbon neutrality optimization</t>
        </is>
      </c>
      <c r="F15" s="4" t="inlineStr">
        <is>
          <t>Method</t>
        </is>
      </c>
      <c r="G15" s="19" t="inlineStr">
        <is>
          <t>https://doi.org/10.1016/j.apenergy.2020.115889</t>
        </is>
      </c>
    </row>
    <row r="16" ht="27.6" customHeight="1" s="22">
      <c r="A16" s="6" t="inlineStr">
        <is>
          <t>[R12]</t>
        </is>
      </c>
      <c r="B16" s="16" t="inlineStr">
        <is>
          <t>Deng, X., Teng, F., Chen, M. et al. (2024). Exploring negative emission potential of biochar. Nature Communications, 15, 1085.</t>
        </is>
      </c>
      <c r="C16" s="6" t="inlineStr">
        <is>
          <t>Nature Comms</t>
        </is>
      </c>
      <c r="D16" s="6" t="n">
        <v>2024</v>
      </c>
      <c r="E16" s="6" t="inlineStr">
        <is>
          <t>Multi-feedstock biochar LCA; woody biomass MC; spatial optimization</t>
        </is>
      </c>
      <c r="F16" s="6" t="inlineStr">
        <is>
          <t>04</t>
        </is>
      </c>
      <c r="G16" s="20" t="inlineStr">
        <is>
          <t>https://doi.org/10.1038/s41467-024-45314-y</t>
        </is>
      </c>
    </row>
    <row r="17" ht="27.6" customHeight="1" s="22">
      <c r="A17" s="4" t="inlineStr">
        <is>
          <t>[R13]</t>
        </is>
      </c>
      <c r="B17" s="4" t="inlineStr">
        <is>
          <t>Fagernas, L., Brammer, J., Wilen, C., Lauer, M., Verhoeff, F. (2010). Drying of biomass for second generation synfuel production. Biomass and Bioenergy, 34(9), 1267-1277.</t>
        </is>
      </c>
      <c r="C17" s="4" t="inlineStr">
        <is>
          <t>Biomass Bioenergy</t>
        </is>
      </c>
      <c r="D17" s="4" t="n">
        <v>2010</v>
      </c>
      <c r="E17" s="4" t="inlineStr">
        <is>
          <t>Forest residue drying energy; MC woody biomass; rotary dryer [DOI CORRECTED]</t>
        </is>
      </c>
      <c r="F17" s="4" t="inlineStr">
        <is>
          <t>03,04</t>
        </is>
      </c>
      <c r="G17" s="19" t="inlineStr">
        <is>
          <t>https://doi.org/10.1016/j.biombioe.2010.04.005</t>
        </is>
      </c>
    </row>
    <row r="18" ht="27.6" customHeight="1" s="22">
      <c r="A18" s="6" t="inlineStr">
        <is>
          <t>[R14]</t>
        </is>
      </c>
      <c r="B18" s="6" t="inlineStr">
        <is>
          <t>Gebreegziabher, T., Oyedun, A.O., Luk, H.T. et al. (2014). Design and optimization of biomass power plant. Chemical Engineering Research and Design, 92(8), 1412-1427.</t>
        </is>
      </c>
      <c r="C18" s="6" t="inlineStr">
        <is>
          <t>Chem Eng Res Des</t>
        </is>
      </c>
      <c r="D18" s="6" t="n">
        <v>2014</v>
      </c>
      <c r="E18" s="6" t="inlineStr">
        <is>
          <t>Rotary dryer heat integration; 50→10% MC; CAPEX [JOURNAL CORRECTED]</t>
        </is>
      </c>
      <c r="F18" s="6" t="inlineStr">
        <is>
          <t>03</t>
        </is>
      </c>
      <c r="G18" s="20" t="inlineStr">
        <is>
          <t>https://doi.org/10.1016/j.cherd.2014.04.013</t>
        </is>
      </c>
    </row>
  </sheetData>
  <mergeCells count="2">
    <mergeCell ref="A2:G2"/>
    <mergeCell ref="A1:G1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76"/>
  <sheetViews>
    <sheetView workbookViewId="0">
      <selection activeCell="A1" sqref="A1:Q1"/>
    </sheetView>
  </sheetViews>
  <sheetFormatPr baseColWidth="8" defaultRowHeight="14.4"/>
  <sheetData>
    <row r="1" ht="18" customHeight="1" s="22">
      <c r="A1" s="24" t="inlineStr">
        <is>
          <t>QGIS-Ready Export — 72 Counties × 13 Biomass Columns [dry t/yr]</t>
        </is>
      </c>
    </row>
    <row r="2">
      <c r="A2" s="23" t="inlineStr">
        <is>
          <t>Column indices for Script.py IDW interpolation: Col4=LAT, Col5=LON. Attribute columns start at Col6 (idx 5 in Python). Copy this sheet to CSV for QGIS Delimited Text Layer import. CRS=EPSG:4326.</t>
        </is>
      </c>
    </row>
    <row r="4" ht="41.4" customHeight="1" s="22">
      <c r="A4" s="3" t="inlineStr">
        <is>
          <t>FIPS</t>
        </is>
      </c>
      <c r="B4" s="3" t="inlineStr">
        <is>
          <t>County</t>
        </is>
      </c>
      <c r="C4" s="3" t="inlineStr">
        <is>
          <t>LAT</t>
        </is>
      </c>
      <c r="D4" s="3" t="inlineStr">
        <is>
          <t>LON</t>
        </is>
      </c>
      <c r="E4" s="3" t="inlineStr">
        <is>
          <t>Corn_Stover</t>
        </is>
      </c>
      <c r="F4" s="3" t="inlineStr">
        <is>
          <t>Miscanthus</t>
        </is>
      </c>
      <c r="G4" s="3" t="inlineStr">
        <is>
          <t>Switchgrass</t>
        </is>
      </c>
      <c r="H4" s="3" t="inlineStr">
        <is>
          <t>Willow</t>
        </is>
      </c>
      <c r="I4" s="3" t="inlineStr">
        <is>
          <t>Poplar</t>
        </is>
      </c>
      <c r="J4" s="3" t="inlineStr">
        <is>
          <t>Logging_Residues</t>
        </is>
      </c>
      <c r="K4" s="3" t="inlineStr">
        <is>
          <t>SmallDiameter_Trees</t>
        </is>
      </c>
      <c r="L4" s="3" t="inlineStr">
        <is>
          <t>Mill_Residues</t>
        </is>
      </c>
      <c r="M4" s="3" t="inlineStr">
        <is>
          <t>Forest_Waste</t>
        </is>
      </c>
      <c r="N4" s="3" t="inlineStr">
        <is>
          <t>Ag_Residues_Subtotal</t>
        </is>
      </c>
      <c r="O4" s="3" t="inlineStr">
        <is>
          <t>Energy_Crops_Subtotal</t>
        </is>
      </c>
      <c r="P4" s="3" t="inlineStr">
        <is>
          <t>Forest_Total</t>
        </is>
      </c>
      <c r="Q4" s="3" t="inlineStr">
        <is>
          <t>Grand_Total</t>
        </is>
      </c>
    </row>
    <row r="5" ht="27.6" customHeight="1" s="22">
      <c r="A5" s="4" t="inlineStr">
        <is>
          <t>55001</t>
        </is>
      </c>
      <c r="B5" s="4" t="inlineStr">
        <is>
          <t>Adams County</t>
        </is>
      </c>
      <c r="C5" s="9" t="n">
        <v>43.973757</v>
      </c>
      <c r="D5" s="4" t="n">
        <v>-89.767228</v>
      </c>
      <c r="E5" s="9" t="n">
        <v>12773</v>
      </c>
      <c r="F5" s="9" t="n">
        <v>119220</v>
      </c>
      <c r="G5" s="4" t="n">
        <v>0</v>
      </c>
      <c r="H5" s="9" t="n">
        <v>63745</v>
      </c>
      <c r="I5" s="9" t="n">
        <v>138</v>
      </c>
      <c r="J5" s="9" t="n">
        <v>6608.299999999999</v>
      </c>
      <c r="K5" s="9" t="n">
        <v>139.7</v>
      </c>
      <c r="L5" s="4" t="n">
        <v>0</v>
      </c>
      <c r="M5" s="9" t="n">
        <v>6367.93</v>
      </c>
      <c r="N5" s="9" t="n">
        <v>12773</v>
      </c>
      <c r="O5" s="9" t="n">
        <v>183103</v>
      </c>
      <c r="P5" s="9" t="n">
        <v>13115.93</v>
      </c>
      <c r="Q5" s="9" t="n">
        <v>208991.93</v>
      </c>
    </row>
    <row r="6" ht="27.6" customHeight="1" s="22">
      <c r="A6" s="6" t="inlineStr">
        <is>
          <t>55003</t>
        </is>
      </c>
      <c r="B6" s="6" t="inlineStr">
        <is>
          <t>Ashland County</t>
        </is>
      </c>
      <c r="C6" s="11" t="n">
        <v>46.544424</v>
      </c>
      <c r="D6" s="6" t="n">
        <v>-90.67969100000001</v>
      </c>
      <c r="E6" s="6" t="n">
        <v>0</v>
      </c>
      <c r="F6" s="11" t="n">
        <v>31185</v>
      </c>
      <c r="G6" s="6" t="n">
        <v>0</v>
      </c>
      <c r="H6" s="11" t="n">
        <v>1158</v>
      </c>
      <c r="I6" s="11" t="n">
        <v>536</v>
      </c>
      <c r="J6" s="11" t="n">
        <v>36211.2</v>
      </c>
      <c r="K6" s="11" t="n">
        <v>59282.5</v>
      </c>
      <c r="L6" s="6" t="n">
        <v>0</v>
      </c>
      <c r="M6" s="11" t="n">
        <v>1640.3</v>
      </c>
      <c r="N6" s="6" t="n">
        <v>0</v>
      </c>
      <c r="O6" s="11" t="n">
        <v>32879</v>
      </c>
      <c r="P6" s="11" t="n">
        <v>97134</v>
      </c>
      <c r="Q6" s="11" t="n">
        <v>130013</v>
      </c>
    </row>
    <row r="7" ht="27.6" customHeight="1" s="22">
      <c r="A7" s="4" t="inlineStr">
        <is>
          <t>55005</t>
        </is>
      </c>
      <c r="B7" s="4" t="inlineStr">
        <is>
          <t>Barron County</t>
        </is>
      </c>
      <c r="C7" s="9" t="n">
        <v>45.437192</v>
      </c>
      <c r="D7" s="4" t="n">
        <v>-91.852892</v>
      </c>
      <c r="E7" s="9" t="n">
        <v>131851</v>
      </c>
      <c r="F7" s="9" t="n">
        <v>89154</v>
      </c>
      <c r="G7" s="4" t="n">
        <v>0</v>
      </c>
      <c r="H7" s="9" t="n">
        <v>1455</v>
      </c>
      <c r="I7" s="9" t="n">
        <v>3656</v>
      </c>
      <c r="J7" s="9" t="n">
        <v>7007.400000000001</v>
      </c>
      <c r="K7" s="9" t="n">
        <v>5512.9</v>
      </c>
      <c r="L7" s="9" t="n">
        <v>18174.13</v>
      </c>
      <c r="M7" s="4" t="n">
        <v>0</v>
      </c>
      <c r="N7" s="9" t="n">
        <v>131851</v>
      </c>
      <c r="O7" s="9" t="n">
        <v>94265</v>
      </c>
      <c r="P7" s="9" t="n">
        <v>30694.43</v>
      </c>
      <c r="Q7" s="9" t="n">
        <v>256810.43</v>
      </c>
    </row>
    <row r="8" ht="27.6" customHeight="1" s="22">
      <c r="A8" s="6" t="inlineStr">
        <is>
          <t>55007</t>
        </is>
      </c>
      <c r="B8" s="6" t="inlineStr">
        <is>
          <t>Bayfield County</t>
        </is>
      </c>
      <c r="C8" s="11" t="n">
        <v>46.634199</v>
      </c>
      <c r="D8" s="6" t="n">
        <v>-91.17728200000001</v>
      </c>
      <c r="E8" s="6" t="n">
        <v>0</v>
      </c>
      <c r="F8" s="11" t="n">
        <v>41749</v>
      </c>
      <c r="G8" s="6" t="n">
        <v>0</v>
      </c>
      <c r="H8" s="11" t="n">
        <v>1352</v>
      </c>
      <c r="I8" s="11" t="n">
        <v>280</v>
      </c>
      <c r="J8" s="11" t="n">
        <v>67962.29999999999</v>
      </c>
      <c r="K8" s="11" t="n">
        <v>73581.3</v>
      </c>
      <c r="L8" s="6" t="n">
        <v>0</v>
      </c>
      <c r="M8" s="11" t="n">
        <v>1940.61</v>
      </c>
      <c r="N8" s="6" t="n">
        <v>0</v>
      </c>
      <c r="O8" s="11" t="n">
        <v>43381</v>
      </c>
      <c r="P8" s="11" t="n">
        <v>143484.21</v>
      </c>
      <c r="Q8" s="11" t="n">
        <v>186865.21</v>
      </c>
    </row>
    <row r="9" ht="27.6" customHeight="1" s="22">
      <c r="A9" s="4" t="inlineStr">
        <is>
          <t>55009</t>
        </is>
      </c>
      <c r="B9" s="4" t="inlineStr">
        <is>
          <t>Brown County</t>
        </is>
      </c>
      <c r="C9" s="9" t="n">
        <v>44.474024</v>
      </c>
      <c r="D9" s="4" t="n">
        <v>-87.99612999999999</v>
      </c>
      <c r="E9" s="9" t="n">
        <v>73530</v>
      </c>
      <c r="F9" s="9" t="n">
        <v>22118</v>
      </c>
      <c r="G9" s="4" t="n">
        <v>0</v>
      </c>
      <c r="H9" s="9" t="n">
        <v>4158</v>
      </c>
      <c r="I9" s="9" t="n">
        <v>818</v>
      </c>
      <c r="J9" s="9" t="n">
        <v>4599.799999999999</v>
      </c>
      <c r="K9" s="9" t="n">
        <v>4303.1</v>
      </c>
      <c r="L9" s="9" t="n">
        <v>45.96</v>
      </c>
      <c r="M9" s="4" t="n">
        <v>0</v>
      </c>
      <c r="N9" s="9" t="n">
        <v>73530</v>
      </c>
      <c r="O9" s="9" t="n">
        <v>27094</v>
      </c>
      <c r="P9" s="9" t="n">
        <v>8948.859999999999</v>
      </c>
      <c r="Q9" s="9" t="n">
        <v>109572.86</v>
      </c>
    </row>
    <row r="10" ht="27.6" customHeight="1" s="22">
      <c r="A10" s="6" t="inlineStr">
        <is>
          <t>55011</t>
        </is>
      </c>
      <c r="B10" s="6" t="inlineStr">
        <is>
          <t>Buffalo County</t>
        </is>
      </c>
      <c r="C10" s="11" t="n">
        <v>44.385633</v>
      </c>
      <c r="D10" s="6" t="n">
        <v>-91.76129400000001</v>
      </c>
      <c r="E10" s="11" t="n">
        <v>16308</v>
      </c>
      <c r="F10" s="11" t="n">
        <v>5568</v>
      </c>
      <c r="G10" s="6" t="n">
        <v>0</v>
      </c>
      <c r="H10" s="11" t="n">
        <v>1201</v>
      </c>
      <c r="I10" s="11" t="n">
        <v>529</v>
      </c>
      <c r="J10" s="11" t="n">
        <v>3308.4</v>
      </c>
      <c r="K10" s="11" t="n">
        <v>4002.1</v>
      </c>
      <c r="L10" s="11" t="n">
        <v>2046.87</v>
      </c>
      <c r="M10" s="11" t="n">
        <v>340.87</v>
      </c>
      <c r="N10" s="11" t="n">
        <v>16308</v>
      </c>
      <c r="O10" s="11" t="n">
        <v>7298</v>
      </c>
      <c r="P10" s="11" t="n">
        <v>9698.24</v>
      </c>
      <c r="Q10" s="11" t="n">
        <v>33304.24000000001</v>
      </c>
    </row>
    <row r="11" ht="27.6" customHeight="1" s="22">
      <c r="A11" s="4" t="inlineStr">
        <is>
          <t>55013</t>
        </is>
      </c>
      <c r="B11" s="4" t="inlineStr">
        <is>
          <t>Burnett County</t>
        </is>
      </c>
      <c r="C11" s="9" t="n">
        <v>45.866897</v>
      </c>
      <c r="D11" s="4" t="n">
        <v>-92.37573</v>
      </c>
      <c r="E11" s="9" t="n">
        <v>22130</v>
      </c>
      <c r="F11" s="9" t="n">
        <v>76992</v>
      </c>
      <c r="G11" s="4" t="n">
        <v>0</v>
      </c>
      <c r="H11" s="9" t="n">
        <v>424</v>
      </c>
      <c r="I11" s="9" t="n">
        <v>1269</v>
      </c>
      <c r="J11" s="9" t="n">
        <v>11975.5</v>
      </c>
      <c r="K11" s="9" t="n">
        <v>9363.799999999999</v>
      </c>
      <c r="L11" s="4" t="n">
        <v>0</v>
      </c>
      <c r="M11" s="9" t="n">
        <v>66.15000000000001</v>
      </c>
      <c r="N11" s="9" t="n">
        <v>22130</v>
      </c>
      <c r="O11" s="9" t="n">
        <v>78685</v>
      </c>
      <c r="P11" s="9" t="n">
        <v>21405.45</v>
      </c>
      <c r="Q11" s="9" t="n">
        <v>122220.45</v>
      </c>
    </row>
    <row r="12" ht="27.6" customHeight="1" s="22">
      <c r="A12" s="6" t="inlineStr">
        <is>
          <t>55015</t>
        </is>
      </c>
      <c r="B12" s="6" t="inlineStr">
        <is>
          <t>Calumet County</t>
        </is>
      </c>
      <c r="C12" s="11" t="n">
        <v>44.07841</v>
      </c>
      <c r="D12" s="6" t="n">
        <v>-88.212132</v>
      </c>
      <c r="E12" s="6" t="n">
        <v>0</v>
      </c>
      <c r="F12" s="11" t="n">
        <v>7651</v>
      </c>
      <c r="G12" s="6" t="n">
        <v>0</v>
      </c>
      <c r="H12" s="11" t="n">
        <v>1537</v>
      </c>
      <c r="I12" s="6" t="n">
        <v>0</v>
      </c>
      <c r="J12" s="11" t="n">
        <v>1884.7</v>
      </c>
      <c r="K12" s="11" t="n">
        <v>1813.7</v>
      </c>
      <c r="L12" s="6" t="n">
        <v>0</v>
      </c>
      <c r="M12" s="11" t="n">
        <v>261.58</v>
      </c>
      <c r="N12" s="6" t="n">
        <v>0</v>
      </c>
      <c r="O12" s="11" t="n">
        <v>9188</v>
      </c>
      <c r="P12" s="11" t="n">
        <v>3959.98</v>
      </c>
      <c r="Q12" s="11" t="n">
        <v>13147.98</v>
      </c>
    </row>
    <row r="13" ht="27.6" customHeight="1" s="22">
      <c r="A13" s="4" t="inlineStr">
        <is>
          <t>55017</t>
        </is>
      </c>
      <c r="B13" s="4" t="inlineStr">
        <is>
          <t>Chippewa County</t>
        </is>
      </c>
      <c r="C13" s="9" t="n">
        <v>45.069092</v>
      </c>
      <c r="D13" s="4" t="n">
        <v>-91.28350500000001</v>
      </c>
      <c r="E13" s="9" t="n">
        <v>311645</v>
      </c>
      <c r="F13" s="9" t="n">
        <v>71519</v>
      </c>
      <c r="G13" s="4" t="n">
        <v>0</v>
      </c>
      <c r="H13" s="9" t="n">
        <v>10359</v>
      </c>
      <c r="I13" s="4" t="n">
        <v>0</v>
      </c>
      <c r="J13" s="9" t="n">
        <v>7888.9</v>
      </c>
      <c r="K13" s="9" t="n">
        <v>6219.7</v>
      </c>
      <c r="L13" s="4" t="n">
        <v>0</v>
      </c>
      <c r="M13" s="9" t="n">
        <v>14927.52</v>
      </c>
      <c r="N13" s="9" t="n">
        <v>311645</v>
      </c>
      <c r="O13" s="9" t="n">
        <v>81878</v>
      </c>
      <c r="P13" s="9" t="n">
        <v>29036.12</v>
      </c>
      <c r="Q13" s="9" t="n">
        <v>422559.1200000001</v>
      </c>
    </row>
    <row r="14" ht="27.6" customHeight="1" s="22">
      <c r="A14" s="6" t="inlineStr">
        <is>
          <t>55019</t>
        </is>
      </c>
      <c r="B14" s="6" t="inlineStr">
        <is>
          <t>Clark County</t>
        </is>
      </c>
      <c r="C14" s="11" t="n">
        <v>44.739346</v>
      </c>
      <c r="D14" s="6" t="n">
        <v>-90.609953</v>
      </c>
      <c r="E14" s="11" t="n">
        <v>121519</v>
      </c>
      <c r="F14" s="11" t="n">
        <v>549906</v>
      </c>
      <c r="G14" s="6" t="n">
        <v>0</v>
      </c>
      <c r="H14" s="11" t="n">
        <v>6395</v>
      </c>
      <c r="I14" s="11" t="n">
        <v>3776</v>
      </c>
      <c r="J14" s="11" t="n">
        <v>26988.7</v>
      </c>
      <c r="K14" s="11" t="n">
        <v>17603.1</v>
      </c>
      <c r="L14" s="6" t="n">
        <v>0</v>
      </c>
      <c r="M14" s="11" t="n">
        <v>2049.38</v>
      </c>
      <c r="N14" s="11" t="n">
        <v>121519</v>
      </c>
      <c r="O14" s="11" t="n">
        <v>560077</v>
      </c>
      <c r="P14" s="11" t="n">
        <v>46641.17999999999</v>
      </c>
      <c r="Q14" s="11" t="n">
        <v>728237.1799999999</v>
      </c>
    </row>
    <row r="15" ht="27.6" customHeight="1" s="22">
      <c r="A15" s="4" t="inlineStr">
        <is>
          <t>55021</t>
        </is>
      </c>
      <c r="B15" s="4" t="inlineStr">
        <is>
          <t>Columbia County</t>
        </is>
      </c>
      <c r="C15" s="9" t="n">
        <v>43.471882</v>
      </c>
      <c r="D15" s="4" t="n">
        <v>-89.330472</v>
      </c>
      <c r="E15" s="4" t="n">
        <v>0</v>
      </c>
      <c r="F15" s="9" t="n">
        <v>32277</v>
      </c>
      <c r="G15" s="4" t="n">
        <v>0</v>
      </c>
      <c r="H15" s="9" t="n">
        <v>6403</v>
      </c>
      <c r="I15" s="4" t="n">
        <v>0</v>
      </c>
      <c r="J15" s="9" t="n">
        <v>2268.2</v>
      </c>
      <c r="K15" s="9" t="n">
        <v>2843.8</v>
      </c>
      <c r="L15" s="4" t="n">
        <v>0</v>
      </c>
      <c r="M15" s="9" t="n">
        <v>293.3</v>
      </c>
      <c r="N15" s="4" t="n">
        <v>0</v>
      </c>
      <c r="O15" s="9" t="n">
        <v>38680</v>
      </c>
      <c r="P15" s="9" t="n">
        <v>5405.3</v>
      </c>
      <c r="Q15" s="9" t="n">
        <v>44085.3</v>
      </c>
    </row>
    <row r="16" ht="27.6" customHeight="1" s="22">
      <c r="A16" s="6" t="inlineStr">
        <is>
          <t>55023</t>
        </is>
      </c>
      <c r="B16" s="6" t="inlineStr">
        <is>
          <t>Crawford County</t>
        </is>
      </c>
      <c r="C16" s="11" t="n">
        <v>43.242768</v>
      </c>
      <c r="D16" s="6" t="n">
        <v>-90.935185</v>
      </c>
      <c r="E16" s="11" t="n">
        <v>32808</v>
      </c>
      <c r="F16" s="11" t="n">
        <v>9132</v>
      </c>
      <c r="G16" s="6" t="n">
        <v>0</v>
      </c>
      <c r="H16" s="11" t="n">
        <v>2172</v>
      </c>
      <c r="I16" s="11" t="n">
        <v>870</v>
      </c>
      <c r="J16" s="11" t="n">
        <v>2007.6</v>
      </c>
      <c r="K16" s="11" t="n">
        <v>11947.5</v>
      </c>
      <c r="L16" s="11" t="n">
        <v>76.95</v>
      </c>
      <c r="M16" s="11" t="n">
        <v>1934.44</v>
      </c>
      <c r="N16" s="11" t="n">
        <v>32808</v>
      </c>
      <c r="O16" s="11" t="n">
        <v>12174</v>
      </c>
      <c r="P16" s="11" t="n">
        <v>15966.49</v>
      </c>
      <c r="Q16" s="11" t="n">
        <v>60948.49</v>
      </c>
    </row>
    <row r="17" ht="27.6" customHeight="1" s="22">
      <c r="A17" s="4" t="inlineStr">
        <is>
          <t>55025</t>
        </is>
      </c>
      <c r="B17" s="4" t="inlineStr">
        <is>
          <t>Dane County</t>
        </is>
      </c>
      <c r="C17" s="9" t="n">
        <v>43.067468</v>
      </c>
      <c r="D17" s="4" t="n">
        <v>-89.417852</v>
      </c>
      <c r="E17" s="9" t="n">
        <v>584205</v>
      </c>
      <c r="F17" s="9" t="n">
        <v>62599</v>
      </c>
      <c r="G17" s="4" t="n">
        <v>0</v>
      </c>
      <c r="H17" s="9" t="n">
        <v>13606</v>
      </c>
      <c r="I17" s="4" t="n">
        <v>0</v>
      </c>
      <c r="J17" s="9" t="n">
        <v>3478.7</v>
      </c>
      <c r="K17" s="9" t="n">
        <v>3246</v>
      </c>
      <c r="L17" s="9" t="n">
        <v>12.75</v>
      </c>
      <c r="M17" s="9" t="n">
        <v>11529.58</v>
      </c>
      <c r="N17" s="9" t="n">
        <v>584205</v>
      </c>
      <c r="O17" s="9" t="n">
        <v>76205</v>
      </c>
      <c r="P17" s="9" t="n">
        <v>18267.03</v>
      </c>
      <c r="Q17" s="9" t="n">
        <v>678677.0299999999</v>
      </c>
    </row>
    <row r="18" ht="27.6" customHeight="1" s="22">
      <c r="A18" s="6" t="inlineStr">
        <is>
          <t>55027</t>
        </is>
      </c>
      <c r="B18" s="6" t="inlineStr">
        <is>
          <t>Dodge County</t>
        </is>
      </c>
      <c r="C18" s="11" t="n">
        <v>43.429628</v>
      </c>
      <c r="D18" s="6" t="n">
        <v>-88.701939</v>
      </c>
      <c r="E18" s="11" t="n">
        <v>404843</v>
      </c>
      <c r="F18" s="11" t="n">
        <v>32800</v>
      </c>
      <c r="G18" s="6" t="n">
        <v>0</v>
      </c>
      <c r="H18" s="11" t="n">
        <v>6532</v>
      </c>
      <c r="I18" s="6" t="n">
        <v>0</v>
      </c>
      <c r="J18" s="11" t="n">
        <v>803.5</v>
      </c>
      <c r="K18" s="11" t="n">
        <v>847.5</v>
      </c>
      <c r="L18" s="6" t="n">
        <v>0</v>
      </c>
      <c r="M18" s="6" t="n">
        <v>0</v>
      </c>
      <c r="N18" s="11" t="n">
        <v>404843</v>
      </c>
      <c r="O18" s="11" t="n">
        <v>39332</v>
      </c>
      <c r="P18" s="11" t="n">
        <v>1651</v>
      </c>
      <c r="Q18" s="11" t="n">
        <v>445826</v>
      </c>
    </row>
    <row r="19" ht="27.6" customHeight="1" s="22">
      <c r="A19" s="4" t="inlineStr">
        <is>
          <t>55029</t>
        </is>
      </c>
      <c r="B19" s="4" t="inlineStr">
        <is>
          <t>Door County</t>
        </is>
      </c>
      <c r="C19" s="9" t="n">
        <v>45.093417</v>
      </c>
      <c r="D19" s="4" t="n">
        <v>-87.048683</v>
      </c>
      <c r="E19" s="9" t="n">
        <v>15516</v>
      </c>
      <c r="F19" s="9" t="n">
        <v>112759</v>
      </c>
      <c r="G19" s="4" t="n">
        <v>0</v>
      </c>
      <c r="H19" s="9" t="n">
        <v>31315</v>
      </c>
      <c r="I19" s="9" t="n">
        <v>445</v>
      </c>
      <c r="J19" s="9" t="n">
        <v>9413.199999999999</v>
      </c>
      <c r="K19" s="9" t="n">
        <v>8748.4</v>
      </c>
      <c r="L19" s="4" t="n">
        <v>0</v>
      </c>
      <c r="M19" s="9" t="n">
        <v>13627.2</v>
      </c>
      <c r="N19" s="9" t="n">
        <v>15516</v>
      </c>
      <c r="O19" s="9" t="n">
        <v>144519</v>
      </c>
      <c r="P19" s="9" t="n">
        <v>31788.8</v>
      </c>
      <c r="Q19" s="9" t="n">
        <v>191823.8</v>
      </c>
    </row>
    <row r="20" ht="27.6" customHeight="1" s="22">
      <c r="A20" s="6" t="inlineStr">
        <is>
          <t>55031</t>
        </is>
      </c>
      <c r="B20" s="6" t="inlineStr">
        <is>
          <t>Douglas County</t>
        </is>
      </c>
      <c r="C20" s="11" t="n">
        <v>46.463218</v>
      </c>
      <c r="D20" s="6" t="n">
        <v>-91.892477</v>
      </c>
      <c r="E20" s="6" t="n">
        <v>0</v>
      </c>
      <c r="F20" s="11" t="n">
        <v>34915</v>
      </c>
      <c r="G20" s="6" t="n">
        <v>0</v>
      </c>
      <c r="H20" s="6" t="n">
        <v>0</v>
      </c>
      <c r="I20" s="11" t="n">
        <v>365</v>
      </c>
      <c r="J20" s="11" t="n">
        <v>12845.2</v>
      </c>
      <c r="K20" s="11" t="n">
        <v>9359.800000000001</v>
      </c>
      <c r="L20" s="6" t="n">
        <v>0</v>
      </c>
      <c r="M20" s="11" t="n">
        <v>339.78</v>
      </c>
      <c r="N20" s="6" t="n">
        <v>0</v>
      </c>
      <c r="O20" s="11" t="n">
        <v>35280</v>
      </c>
      <c r="P20" s="11" t="n">
        <v>22544.78</v>
      </c>
      <c r="Q20" s="11" t="n">
        <v>57824.78</v>
      </c>
    </row>
    <row r="21" ht="27.6" customHeight="1" s="22">
      <c r="A21" s="4" t="inlineStr">
        <is>
          <t>55033</t>
        </is>
      </c>
      <c r="B21" s="4" t="inlineStr">
        <is>
          <t>Dunn County</t>
        </is>
      </c>
      <c r="C21" s="9" t="n">
        <v>44.947751</v>
      </c>
      <c r="D21" s="4" t="n">
        <v>-91.897645</v>
      </c>
      <c r="E21" s="9" t="n">
        <v>254368</v>
      </c>
      <c r="F21" s="9" t="n">
        <v>6075</v>
      </c>
      <c r="G21" s="4" t="n">
        <v>0</v>
      </c>
      <c r="H21" s="9" t="n">
        <v>1272</v>
      </c>
      <c r="I21" s="9" t="n">
        <v>574</v>
      </c>
      <c r="J21" s="9" t="n">
        <v>3155.7</v>
      </c>
      <c r="K21" s="9" t="n">
        <v>3289.2</v>
      </c>
      <c r="L21" s="4" t="n">
        <v>0</v>
      </c>
      <c r="M21" s="9" t="n">
        <v>4673.6</v>
      </c>
      <c r="N21" s="9" t="n">
        <v>254368</v>
      </c>
      <c r="O21" s="9" t="n">
        <v>7921</v>
      </c>
      <c r="P21" s="9" t="n">
        <v>11118.5</v>
      </c>
      <c r="Q21" s="9" t="n">
        <v>273407.5</v>
      </c>
    </row>
    <row r="22" ht="27.6" customHeight="1" s="22">
      <c r="A22" s="6" t="inlineStr">
        <is>
          <t>55035</t>
        </is>
      </c>
      <c r="B22" s="6" t="inlineStr">
        <is>
          <t>Eau Claire County</t>
        </is>
      </c>
      <c r="C22" s="11" t="n">
        <v>44.726355</v>
      </c>
      <c r="D22" s="6" t="n">
        <v>-91.28641399999999</v>
      </c>
      <c r="E22" s="11" t="n">
        <v>78847</v>
      </c>
      <c r="F22" s="11" t="n">
        <v>6403</v>
      </c>
      <c r="G22" s="6" t="n">
        <v>0</v>
      </c>
      <c r="H22" s="6" t="n">
        <v>0</v>
      </c>
      <c r="I22" s="6" t="n">
        <v>0</v>
      </c>
      <c r="J22" s="11" t="n">
        <v>2816.2</v>
      </c>
      <c r="K22" s="11" t="n">
        <v>2608.7</v>
      </c>
      <c r="L22" s="6" t="n">
        <v>0</v>
      </c>
      <c r="M22" s="11" t="n">
        <v>4733.74</v>
      </c>
      <c r="N22" s="11" t="n">
        <v>78847</v>
      </c>
      <c r="O22" s="11" t="n">
        <v>6403</v>
      </c>
      <c r="P22" s="11" t="n">
        <v>10158.64</v>
      </c>
      <c r="Q22" s="11" t="n">
        <v>95408.64</v>
      </c>
    </row>
    <row r="23" ht="27.6" customHeight="1" s="22">
      <c r="A23" s="4" t="inlineStr">
        <is>
          <t>55037</t>
        </is>
      </c>
      <c r="B23" s="4" t="inlineStr">
        <is>
          <t>Florence County</t>
        </is>
      </c>
      <c r="C23" s="9" t="n">
        <v>45.871828</v>
      </c>
      <c r="D23" s="4" t="n">
        <v>-88.406988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9" t="n">
        <v>19034.1</v>
      </c>
      <c r="K23" s="9" t="n">
        <v>7152.7</v>
      </c>
      <c r="L23" s="4" t="n">
        <v>0</v>
      </c>
      <c r="M23" s="4" t="n">
        <v>0</v>
      </c>
      <c r="N23" s="4" t="n">
        <v>0</v>
      </c>
      <c r="O23" s="4" t="n">
        <v>0</v>
      </c>
      <c r="P23" s="9" t="n">
        <v>26186.8</v>
      </c>
      <c r="Q23" s="9" t="n">
        <v>26186.8</v>
      </c>
    </row>
    <row r="24" ht="41.4" customHeight="1" s="22">
      <c r="A24" s="6" t="inlineStr">
        <is>
          <t>55039</t>
        </is>
      </c>
      <c r="B24" s="6" t="inlineStr">
        <is>
          <t>Fond du Lac County</t>
        </is>
      </c>
      <c r="C24" s="11" t="n">
        <v>43.754722</v>
      </c>
      <c r="D24" s="6" t="n">
        <v>-88.493284</v>
      </c>
      <c r="E24" s="11" t="n">
        <v>278427</v>
      </c>
      <c r="F24" s="11" t="n">
        <v>9702</v>
      </c>
      <c r="G24" s="6" t="n">
        <v>0</v>
      </c>
      <c r="H24" s="11" t="n">
        <v>14975</v>
      </c>
      <c r="I24" s="6" t="n">
        <v>0</v>
      </c>
      <c r="J24" s="11" t="n">
        <v>6490.3</v>
      </c>
      <c r="K24" s="11" t="n">
        <v>6335</v>
      </c>
      <c r="L24" s="6" t="n">
        <v>0</v>
      </c>
      <c r="M24" s="6" t="n">
        <v>0</v>
      </c>
      <c r="N24" s="11" t="n">
        <v>278427</v>
      </c>
      <c r="O24" s="11" t="n">
        <v>24677</v>
      </c>
      <c r="P24" s="11" t="n">
        <v>12825.3</v>
      </c>
      <c r="Q24" s="11" t="n">
        <v>315929.3</v>
      </c>
    </row>
    <row r="25" ht="27.6" customHeight="1" s="22">
      <c r="A25" s="4" t="inlineStr">
        <is>
          <t>55041</t>
        </is>
      </c>
      <c r="B25" s="4" t="inlineStr">
        <is>
          <t>Forest County</t>
        </is>
      </c>
      <c r="C25" s="9" t="n">
        <v>45.666881</v>
      </c>
      <c r="D25" s="4" t="n">
        <v>-88.773326</v>
      </c>
      <c r="E25" s="4" t="n">
        <v>0</v>
      </c>
      <c r="F25" s="9" t="n">
        <v>10846</v>
      </c>
      <c r="G25" s="4" t="n">
        <v>0</v>
      </c>
      <c r="H25" s="4" t="n">
        <v>0</v>
      </c>
      <c r="I25" s="4" t="n">
        <v>0</v>
      </c>
      <c r="J25" s="9" t="n">
        <v>57132</v>
      </c>
      <c r="K25" s="9" t="n">
        <v>28509.4</v>
      </c>
      <c r="L25" s="9" t="n">
        <v>5.98</v>
      </c>
      <c r="M25" s="9" t="n">
        <v>1727.45</v>
      </c>
      <c r="N25" s="4" t="n">
        <v>0</v>
      </c>
      <c r="O25" s="9" t="n">
        <v>10846</v>
      </c>
      <c r="P25" s="9" t="n">
        <v>87374.82999999999</v>
      </c>
      <c r="Q25" s="9" t="n">
        <v>98220.82999999999</v>
      </c>
    </row>
    <row r="26" ht="27.6" customHeight="1" s="22">
      <c r="A26" s="6" t="inlineStr">
        <is>
          <t>55043</t>
        </is>
      </c>
      <c r="B26" s="6" t="inlineStr">
        <is>
          <t>Grant County</t>
        </is>
      </c>
      <c r="C26" s="11" t="n">
        <v>42.870028</v>
      </c>
      <c r="D26" s="6" t="n">
        <v>-90.69422900000001</v>
      </c>
      <c r="E26" s="11" t="n">
        <v>202661</v>
      </c>
      <c r="F26" s="11" t="n">
        <v>9031</v>
      </c>
      <c r="G26" s="6" t="n">
        <v>0</v>
      </c>
      <c r="H26" s="11" t="n">
        <v>2475</v>
      </c>
      <c r="I26" s="6" t="n">
        <v>0</v>
      </c>
      <c r="J26" s="11" t="n">
        <v>2243.6</v>
      </c>
      <c r="K26" s="11" t="n">
        <v>12565</v>
      </c>
      <c r="L26" s="6" t="n">
        <v>0</v>
      </c>
      <c r="M26" s="11" t="n">
        <v>473.38</v>
      </c>
      <c r="N26" s="11" t="n">
        <v>202661</v>
      </c>
      <c r="O26" s="11" t="n">
        <v>11506</v>
      </c>
      <c r="P26" s="11" t="n">
        <v>15281.98</v>
      </c>
      <c r="Q26" s="11" t="n">
        <v>229448.98</v>
      </c>
    </row>
    <row r="27" ht="27.6" customHeight="1" s="22">
      <c r="A27" s="4" t="inlineStr">
        <is>
          <t>55045</t>
        </is>
      </c>
      <c r="B27" s="4" t="inlineStr">
        <is>
          <t>Green County</t>
        </is>
      </c>
      <c r="C27" s="9" t="n">
        <v>42.675522</v>
      </c>
      <c r="D27" s="4" t="n">
        <v>-89.605074</v>
      </c>
      <c r="E27" s="9" t="n">
        <v>181118</v>
      </c>
      <c r="F27" s="9" t="n">
        <v>45499</v>
      </c>
      <c r="G27" s="4" t="n">
        <v>0</v>
      </c>
      <c r="H27" s="9" t="n">
        <v>8456</v>
      </c>
      <c r="I27" s="4" t="n">
        <v>0</v>
      </c>
      <c r="J27" s="9" t="n">
        <v>1403.7</v>
      </c>
      <c r="K27" s="9" t="n">
        <v>1234.7</v>
      </c>
      <c r="L27" s="4" t="n">
        <v>0</v>
      </c>
      <c r="M27" s="9" t="n">
        <v>21.74</v>
      </c>
      <c r="N27" s="9" t="n">
        <v>181118</v>
      </c>
      <c r="O27" s="9" t="n">
        <v>53955</v>
      </c>
      <c r="P27" s="9" t="n">
        <v>2660.139999999999</v>
      </c>
      <c r="Q27" s="9" t="n">
        <v>237733.14</v>
      </c>
    </row>
    <row r="28" ht="41.4" customHeight="1" s="22">
      <c r="A28" s="6" t="inlineStr">
        <is>
          <t>55047</t>
        </is>
      </c>
      <c r="B28" s="6" t="inlineStr">
        <is>
          <t>Green Lake County</t>
        </is>
      </c>
      <c r="C28" s="11" t="n">
        <v>43.780247</v>
      </c>
      <c r="D28" s="6" t="n">
        <v>-88.97038000000001</v>
      </c>
      <c r="E28" s="11" t="n">
        <v>166574</v>
      </c>
      <c r="F28" s="11" t="n">
        <v>9872</v>
      </c>
      <c r="G28" s="6" t="n">
        <v>0</v>
      </c>
      <c r="H28" s="11" t="n">
        <v>2345</v>
      </c>
      <c r="I28" s="6" t="n">
        <v>0</v>
      </c>
      <c r="J28" s="11" t="n">
        <v>664.9</v>
      </c>
      <c r="K28" s="6" t="n">
        <v>0</v>
      </c>
      <c r="L28" s="6" t="n">
        <v>0</v>
      </c>
      <c r="M28" s="6" t="n">
        <v>0</v>
      </c>
      <c r="N28" s="11" t="n">
        <v>166574</v>
      </c>
      <c r="O28" s="11" t="n">
        <v>12217</v>
      </c>
      <c r="P28" s="11" t="n">
        <v>664.9</v>
      </c>
      <c r="Q28" s="11" t="n">
        <v>179455.9</v>
      </c>
    </row>
    <row r="29" ht="27.6" customHeight="1" s="22">
      <c r="A29" s="4" t="inlineStr">
        <is>
          <t>55049</t>
        </is>
      </c>
      <c r="B29" s="4" t="inlineStr">
        <is>
          <t>Iowa County</t>
        </is>
      </c>
      <c r="C29" s="9" t="n">
        <v>43.001021</v>
      </c>
      <c r="D29" s="4" t="n">
        <v>-90.133691</v>
      </c>
      <c r="E29" s="9" t="n">
        <v>164347</v>
      </c>
      <c r="F29" s="9" t="n">
        <v>4689</v>
      </c>
      <c r="G29" s="4" t="n">
        <v>0</v>
      </c>
      <c r="H29" s="9" t="n">
        <v>1140</v>
      </c>
      <c r="I29" s="4" t="n">
        <v>0</v>
      </c>
      <c r="J29" s="9" t="n">
        <v>1564.3</v>
      </c>
      <c r="K29" s="9" t="n">
        <v>9499.799999999999</v>
      </c>
      <c r="L29" s="4" t="n">
        <v>0</v>
      </c>
      <c r="M29" s="4" t="n">
        <v>0</v>
      </c>
      <c r="N29" s="9" t="n">
        <v>164347</v>
      </c>
      <c r="O29" s="9" t="n">
        <v>5829</v>
      </c>
      <c r="P29" s="9" t="n">
        <v>11064.1</v>
      </c>
      <c r="Q29" s="9" t="n">
        <v>181240.1</v>
      </c>
    </row>
    <row r="30" ht="27.6" customHeight="1" s="22">
      <c r="A30" s="6" t="inlineStr">
        <is>
          <t>55051</t>
        </is>
      </c>
      <c r="B30" s="6" t="inlineStr">
        <is>
          <t>Iron County</t>
        </is>
      </c>
      <c r="C30" s="11" t="n">
        <v>46.32655</v>
      </c>
      <c r="D30" s="6" t="n">
        <v>-90.261298</v>
      </c>
      <c r="E30" s="6" t="n">
        <v>0</v>
      </c>
      <c r="F30" s="11" t="n">
        <v>3041</v>
      </c>
      <c r="G30" s="6" t="n">
        <v>0</v>
      </c>
      <c r="H30" s="11" t="n">
        <v>27</v>
      </c>
      <c r="I30" s="6" t="n">
        <v>0</v>
      </c>
      <c r="J30" s="11" t="n">
        <v>18010.6</v>
      </c>
      <c r="K30" s="11" t="n">
        <v>12140.1</v>
      </c>
      <c r="L30" s="11" t="n">
        <v>33.83</v>
      </c>
      <c r="M30" s="11" t="n">
        <v>3577.49</v>
      </c>
      <c r="N30" s="6" t="n">
        <v>0</v>
      </c>
      <c r="O30" s="11" t="n">
        <v>3068</v>
      </c>
      <c r="P30" s="11" t="n">
        <v>33762.02</v>
      </c>
      <c r="Q30" s="11" t="n">
        <v>36830.02</v>
      </c>
    </row>
    <row r="31" ht="27.6" customHeight="1" s="22">
      <c r="A31" s="4" t="inlineStr">
        <is>
          <t>55053</t>
        </is>
      </c>
      <c r="B31" s="4" t="inlineStr">
        <is>
          <t>Jackson County</t>
        </is>
      </c>
      <c r="C31" s="9" t="n">
        <v>44.32459</v>
      </c>
      <c r="D31" s="4" t="n">
        <v>-90.79951</v>
      </c>
      <c r="E31" s="9" t="n">
        <v>115054</v>
      </c>
      <c r="F31" s="9" t="n">
        <v>6477</v>
      </c>
      <c r="G31" s="4" t="n">
        <v>0</v>
      </c>
      <c r="H31" s="9" t="n">
        <v>1323</v>
      </c>
      <c r="I31" s="4" t="n">
        <v>0</v>
      </c>
      <c r="J31" s="9" t="n">
        <v>5880.4</v>
      </c>
      <c r="K31" s="9" t="n">
        <v>4149.9</v>
      </c>
      <c r="L31" s="4" t="n">
        <v>0</v>
      </c>
      <c r="M31" s="9" t="n">
        <v>1178.21</v>
      </c>
      <c r="N31" s="9" t="n">
        <v>115054</v>
      </c>
      <c r="O31" s="9" t="n">
        <v>7800</v>
      </c>
      <c r="P31" s="9" t="n">
        <v>11208.51</v>
      </c>
      <c r="Q31" s="9" t="n">
        <v>134062.51</v>
      </c>
    </row>
    <row r="32" ht="27.6" customHeight="1" s="22">
      <c r="A32" s="6" t="inlineStr">
        <is>
          <t>55055</t>
        </is>
      </c>
      <c r="B32" s="6" t="inlineStr">
        <is>
          <t>Jefferson County</t>
        </is>
      </c>
      <c r="C32" s="11" t="n">
        <v>43.013804</v>
      </c>
      <c r="D32" s="6" t="n">
        <v>-88.773985</v>
      </c>
      <c r="E32" s="11" t="n">
        <v>299366</v>
      </c>
      <c r="F32" s="11" t="n">
        <v>17812</v>
      </c>
      <c r="G32" s="6" t="n">
        <v>0</v>
      </c>
      <c r="H32" s="11" t="n">
        <v>3418</v>
      </c>
      <c r="I32" s="6" t="n">
        <v>0</v>
      </c>
      <c r="J32" s="11" t="n">
        <v>874.7</v>
      </c>
      <c r="K32" s="11" t="n">
        <v>930.4000000000001</v>
      </c>
      <c r="L32" s="6" t="n">
        <v>0</v>
      </c>
      <c r="M32" s="6" t="n">
        <v>0</v>
      </c>
      <c r="N32" s="11" t="n">
        <v>299366</v>
      </c>
      <c r="O32" s="11" t="n">
        <v>21230</v>
      </c>
      <c r="P32" s="11" t="n">
        <v>1805.1</v>
      </c>
      <c r="Q32" s="11" t="n">
        <v>322401.1</v>
      </c>
    </row>
    <row r="33" ht="27.6" customHeight="1" s="22">
      <c r="A33" s="4" t="inlineStr">
        <is>
          <t>55057</t>
        </is>
      </c>
      <c r="B33" s="4" t="inlineStr">
        <is>
          <t>Juneau County</t>
        </is>
      </c>
      <c r="C33" s="9" t="n">
        <v>43.932836</v>
      </c>
      <c r="D33" s="4" t="n">
        <v>-90.113984</v>
      </c>
      <c r="E33" s="9" t="n">
        <v>47767</v>
      </c>
      <c r="F33" s="9" t="n">
        <v>52658</v>
      </c>
      <c r="G33" s="4" t="n">
        <v>0</v>
      </c>
      <c r="H33" s="9" t="n">
        <v>5212</v>
      </c>
      <c r="I33" s="4" t="n">
        <v>0</v>
      </c>
      <c r="J33" s="9" t="n">
        <v>34899.9</v>
      </c>
      <c r="K33" s="9" t="n">
        <v>11362.8</v>
      </c>
      <c r="L33" s="9" t="n">
        <v>1745.23</v>
      </c>
      <c r="M33" s="9" t="n">
        <v>433.73</v>
      </c>
      <c r="N33" s="9" t="n">
        <v>47767</v>
      </c>
      <c r="O33" s="9" t="n">
        <v>57870</v>
      </c>
      <c r="P33" s="9" t="n">
        <v>48441.66</v>
      </c>
      <c r="Q33" s="9" t="n">
        <v>154078.66</v>
      </c>
    </row>
    <row r="34" ht="27.6" customHeight="1" s="22">
      <c r="A34" s="6" t="inlineStr">
        <is>
          <t>55059</t>
        </is>
      </c>
      <c r="B34" s="6" t="inlineStr">
        <is>
          <t>Kenosha County</t>
        </is>
      </c>
      <c r="C34" s="11" t="n">
        <v>42.587526</v>
      </c>
      <c r="D34" s="6" t="n">
        <v>-87.87999600000001</v>
      </c>
      <c r="E34" s="11" t="n">
        <v>116853</v>
      </c>
      <c r="F34" s="11" t="n">
        <v>1284</v>
      </c>
      <c r="G34" s="6" t="n">
        <v>0</v>
      </c>
      <c r="H34" s="11" t="n">
        <v>326</v>
      </c>
      <c r="I34" s="6" t="n">
        <v>0</v>
      </c>
      <c r="J34" s="11" t="n">
        <v>600.8</v>
      </c>
      <c r="K34" s="11" t="n">
        <v>675.4</v>
      </c>
      <c r="L34" s="6" t="n">
        <v>0</v>
      </c>
      <c r="M34" s="6" t="n">
        <v>0</v>
      </c>
      <c r="N34" s="11" t="n">
        <v>116853</v>
      </c>
      <c r="O34" s="11" t="n">
        <v>1610</v>
      </c>
      <c r="P34" s="11" t="n">
        <v>1276.2</v>
      </c>
      <c r="Q34" s="11" t="n">
        <v>119739.2</v>
      </c>
    </row>
    <row r="35" ht="27.6" customHeight="1" s="22">
      <c r="A35" s="4" t="inlineStr">
        <is>
          <t>55061</t>
        </is>
      </c>
      <c r="B35" s="4" t="inlineStr">
        <is>
          <t>Kewaunee County</t>
        </is>
      </c>
      <c r="C35" s="9" t="n">
        <v>44.605677</v>
      </c>
      <c r="D35" s="4" t="n">
        <v>-87.448008</v>
      </c>
      <c r="E35" s="9" t="n">
        <v>71225</v>
      </c>
      <c r="F35" s="9" t="n">
        <v>12424</v>
      </c>
      <c r="G35" s="4" t="n">
        <v>0</v>
      </c>
      <c r="H35" s="9" t="n">
        <v>2581</v>
      </c>
      <c r="I35" s="4" t="n">
        <v>0</v>
      </c>
      <c r="J35" s="9" t="n">
        <v>1797.1</v>
      </c>
      <c r="K35" s="9" t="n">
        <v>1635.9</v>
      </c>
      <c r="L35" s="4" t="n">
        <v>0</v>
      </c>
      <c r="M35" s="4" t="n">
        <v>0</v>
      </c>
      <c r="N35" s="9" t="n">
        <v>71225</v>
      </c>
      <c r="O35" s="9" t="n">
        <v>15005</v>
      </c>
      <c r="P35" s="9" t="n">
        <v>3433</v>
      </c>
      <c r="Q35" s="9" t="n">
        <v>89663</v>
      </c>
    </row>
    <row r="36" ht="27.6" customHeight="1" s="22">
      <c r="A36" s="6" t="inlineStr">
        <is>
          <t>55063</t>
        </is>
      </c>
      <c r="B36" s="6" t="inlineStr">
        <is>
          <t>La Crosse County</t>
        </is>
      </c>
      <c r="C36" s="11" t="n">
        <v>43.908222</v>
      </c>
      <c r="D36" s="6" t="n">
        <v>-91.11175799999999</v>
      </c>
      <c r="E36" s="11" t="n">
        <v>44499</v>
      </c>
      <c r="F36" s="11" t="n">
        <v>3390</v>
      </c>
      <c r="G36" s="6" t="n">
        <v>0</v>
      </c>
      <c r="H36" s="11" t="n">
        <v>786</v>
      </c>
      <c r="I36" s="11" t="n">
        <v>324</v>
      </c>
      <c r="J36" s="11" t="n">
        <v>2278.1</v>
      </c>
      <c r="K36" s="11" t="n">
        <v>2645.1</v>
      </c>
      <c r="L36" s="6" t="n">
        <v>0</v>
      </c>
      <c r="M36" s="11" t="n">
        <v>473.79</v>
      </c>
      <c r="N36" s="11" t="n">
        <v>44499</v>
      </c>
      <c r="O36" s="11" t="n">
        <v>4500</v>
      </c>
      <c r="P36" s="11" t="n">
        <v>5396.99</v>
      </c>
      <c r="Q36" s="11" t="n">
        <v>54395.99</v>
      </c>
    </row>
    <row r="37" ht="27.6" customHeight="1" s="22">
      <c r="A37" s="4" t="inlineStr">
        <is>
          <t>55065</t>
        </is>
      </c>
      <c r="B37" s="4" t="inlineStr">
        <is>
          <t>Lafayette County</t>
        </is>
      </c>
      <c r="C37" s="9" t="n">
        <v>42.655578</v>
      </c>
      <c r="D37" s="4" t="n">
        <v>-90.130292</v>
      </c>
      <c r="E37" s="9" t="n">
        <v>167032</v>
      </c>
      <c r="F37" s="9" t="n">
        <v>7403</v>
      </c>
      <c r="G37" s="4" t="n">
        <v>0</v>
      </c>
      <c r="H37" s="9" t="n">
        <v>2502</v>
      </c>
      <c r="I37" s="4" t="n">
        <v>0</v>
      </c>
      <c r="J37" s="9" t="n">
        <v>432.2</v>
      </c>
      <c r="K37" s="9" t="n">
        <v>2630.7</v>
      </c>
      <c r="L37" s="4" t="n">
        <v>0</v>
      </c>
      <c r="M37" s="9" t="n">
        <v>90.63</v>
      </c>
      <c r="N37" s="9" t="n">
        <v>167032</v>
      </c>
      <c r="O37" s="9" t="n">
        <v>9905</v>
      </c>
      <c r="P37" s="9" t="n">
        <v>3153.53</v>
      </c>
      <c r="Q37" s="9" t="n">
        <v>180090.53</v>
      </c>
    </row>
    <row r="38" ht="27.6" customHeight="1" s="22">
      <c r="A38" s="6" t="inlineStr">
        <is>
          <t>55067</t>
        </is>
      </c>
      <c r="B38" s="6" t="inlineStr">
        <is>
          <t>Langlade County</t>
        </is>
      </c>
      <c r="C38" s="11" t="n">
        <v>45.254863</v>
      </c>
      <c r="D38" s="6" t="n">
        <v>-89.06707</v>
      </c>
      <c r="E38" s="11" t="n">
        <v>672</v>
      </c>
      <c r="F38" s="11" t="n">
        <v>88019</v>
      </c>
      <c r="G38" s="11" t="n">
        <v>28455</v>
      </c>
      <c r="H38" s="6" t="n">
        <v>0</v>
      </c>
      <c r="I38" s="6" t="n">
        <v>0</v>
      </c>
      <c r="J38" s="11" t="n">
        <v>20062.2</v>
      </c>
      <c r="K38" s="11" t="n">
        <v>3652.5</v>
      </c>
      <c r="L38" s="11" t="n">
        <v>1507.32</v>
      </c>
      <c r="M38" s="6" t="n">
        <v>0</v>
      </c>
      <c r="N38" s="11" t="n">
        <v>672</v>
      </c>
      <c r="O38" s="11" t="n">
        <v>116474</v>
      </c>
      <c r="P38" s="11" t="n">
        <v>25222.02</v>
      </c>
      <c r="Q38" s="11" t="n">
        <v>142368.02</v>
      </c>
    </row>
    <row r="39" ht="27.6" customHeight="1" s="22">
      <c r="A39" s="4" t="inlineStr">
        <is>
          <t>55069</t>
        </is>
      </c>
      <c r="B39" s="4" t="inlineStr">
        <is>
          <t>Lincoln County</t>
        </is>
      </c>
      <c r="C39" s="9" t="n">
        <v>45.333148</v>
      </c>
      <c r="D39" s="4" t="n">
        <v>-89.73224</v>
      </c>
      <c r="E39" s="9" t="n">
        <v>7924</v>
      </c>
      <c r="F39" s="9" t="n">
        <v>61956</v>
      </c>
      <c r="G39" s="4" t="n">
        <v>0</v>
      </c>
      <c r="H39" s="4" t="n">
        <v>0</v>
      </c>
      <c r="I39" s="4" t="n">
        <v>0</v>
      </c>
      <c r="J39" s="9" t="n">
        <v>24069.9</v>
      </c>
      <c r="K39" s="9" t="n">
        <v>15903.5</v>
      </c>
      <c r="L39" s="4" t="n">
        <v>0</v>
      </c>
      <c r="M39" s="9" t="n">
        <v>42.01</v>
      </c>
      <c r="N39" s="9" t="n">
        <v>7924</v>
      </c>
      <c r="O39" s="9" t="n">
        <v>61956</v>
      </c>
      <c r="P39" s="9" t="n">
        <v>40015.41</v>
      </c>
      <c r="Q39" s="9" t="n">
        <v>109895.41</v>
      </c>
    </row>
    <row r="40" ht="27.6" customHeight="1" s="22">
      <c r="A40" s="6" t="inlineStr">
        <is>
          <t>55071</t>
        </is>
      </c>
      <c r="B40" s="6" t="inlineStr">
        <is>
          <t>Manitowoc County</t>
        </is>
      </c>
      <c r="C40" s="11" t="n">
        <v>44.156137</v>
      </c>
      <c r="D40" s="6" t="n">
        <v>-87.577352</v>
      </c>
      <c r="E40" s="6" t="n">
        <v>0</v>
      </c>
      <c r="F40" s="11" t="n">
        <v>28762</v>
      </c>
      <c r="G40" s="6" t="n">
        <v>0</v>
      </c>
      <c r="H40" s="11" t="n">
        <v>3180</v>
      </c>
      <c r="I40" s="6" t="n">
        <v>0</v>
      </c>
      <c r="J40" s="11" t="n">
        <v>4125</v>
      </c>
      <c r="K40" s="11" t="n">
        <v>3805.2</v>
      </c>
      <c r="L40" s="6" t="n">
        <v>0</v>
      </c>
      <c r="M40" s="6" t="n">
        <v>0</v>
      </c>
      <c r="N40" s="6" t="n">
        <v>0</v>
      </c>
      <c r="O40" s="11" t="n">
        <v>31942</v>
      </c>
      <c r="P40" s="11" t="n">
        <v>7930.2</v>
      </c>
      <c r="Q40" s="11" t="n">
        <v>39872.2</v>
      </c>
    </row>
    <row r="41" ht="27.6" customHeight="1" s="22">
      <c r="A41" s="4" t="inlineStr">
        <is>
          <t>55073</t>
        </is>
      </c>
      <c r="B41" s="4" t="inlineStr">
        <is>
          <t>Marathon County</t>
        </is>
      </c>
      <c r="C41" s="9" t="n">
        <v>44.898036</v>
      </c>
      <c r="D41" s="4" t="n">
        <v>-89.757823</v>
      </c>
      <c r="E41" s="9" t="n">
        <v>108378</v>
      </c>
      <c r="F41" s="9" t="n">
        <v>557178</v>
      </c>
      <c r="G41" s="4" t="n">
        <v>0</v>
      </c>
      <c r="H41" s="9" t="n">
        <v>915</v>
      </c>
      <c r="I41" s="4" t="n">
        <v>0</v>
      </c>
      <c r="J41" s="9" t="n">
        <v>30239.5</v>
      </c>
      <c r="K41" s="9" t="n">
        <v>20152.5</v>
      </c>
      <c r="L41" s="9" t="n">
        <v>675</v>
      </c>
      <c r="M41" s="9" t="n">
        <v>271.6</v>
      </c>
      <c r="N41" s="9" t="n">
        <v>108378</v>
      </c>
      <c r="O41" s="9" t="n">
        <v>558093</v>
      </c>
      <c r="P41" s="9" t="n">
        <v>51338.6</v>
      </c>
      <c r="Q41" s="9" t="n">
        <v>717809.6</v>
      </c>
    </row>
    <row r="42" ht="27.6" customHeight="1" s="22">
      <c r="A42" s="6" t="inlineStr">
        <is>
          <t>55075</t>
        </is>
      </c>
      <c r="B42" s="6" t="inlineStr">
        <is>
          <t>Marinette County</t>
        </is>
      </c>
      <c r="C42" s="11" t="n">
        <v>45.346899</v>
      </c>
      <c r="D42" s="6" t="n">
        <v>-87.991198</v>
      </c>
      <c r="E42" s="6" t="n">
        <v>0</v>
      </c>
      <c r="F42" s="11" t="n">
        <v>119662</v>
      </c>
      <c r="G42" s="6" t="n">
        <v>0</v>
      </c>
      <c r="H42" s="11" t="n">
        <v>24859</v>
      </c>
      <c r="I42" s="6" t="n">
        <v>0</v>
      </c>
      <c r="J42" s="11" t="n">
        <v>20545.6</v>
      </c>
      <c r="K42" s="6" t="n">
        <v>0</v>
      </c>
      <c r="L42" s="11" t="n">
        <v>131.73</v>
      </c>
      <c r="M42" s="11" t="n">
        <v>3169.86</v>
      </c>
      <c r="N42" s="6" t="n">
        <v>0</v>
      </c>
      <c r="O42" s="11" t="n">
        <v>144521</v>
      </c>
      <c r="P42" s="11" t="n">
        <v>23847.19</v>
      </c>
      <c r="Q42" s="11" t="n">
        <v>168368.19</v>
      </c>
    </row>
    <row r="43" ht="27.6" customHeight="1" s="22">
      <c r="A43" s="4" t="inlineStr">
        <is>
          <t>55077</t>
        </is>
      </c>
      <c r="B43" s="4" t="inlineStr">
        <is>
          <t>Marquette County</t>
        </is>
      </c>
      <c r="C43" s="9" t="n">
        <v>43.826053</v>
      </c>
      <c r="D43" s="4" t="n">
        <v>-89.40909499999999</v>
      </c>
      <c r="E43" s="9" t="n">
        <v>35491</v>
      </c>
      <c r="F43" s="9" t="n">
        <v>132770</v>
      </c>
      <c r="G43" s="4" t="n">
        <v>0</v>
      </c>
      <c r="H43" s="9" t="n">
        <v>83296</v>
      </c>
      <c r="I43" s="4" t="n">
        <v>0</v>
      </c>
      <c r="J43" s="9" t="n">
        <v>2526.8</v>
      </c>
      <c r="K43" s="9" t="n">
        <v>93.09999999999999</v>
      </c>
      <c r="L43" s="9" t="n">
        <v>21.3</v>
      </c>
      <c r="M43" s="4" t="n">
        <v>0</v>
      </c>
      <c r="N43" s="9" t="n">
        <v>35491</v>
      </c>
      <c r="O43" s="9" t="n">
        <v>216066</v>
      </c>
      <c r="P43" s="9" t="n">
        <v>2641.2</v>
      </c>
      <c r="Q43" s="9" t="n">
        <v>254198.2</v>
      </c>
    </row>
    <row r="44" ht="27.6" customHeight="1" s="22">
      <c r="A44" s="6" t="inlineStr">
        <is>
          <t>55078</t>
        </is>
      </c>
      <c r="B44" s="6" t="inlineStr">
        <is>
          <t>Menominee County</t>
        </is>
      </c>
      <c r="C44" s="11" t="n">
        <v>44.991304</v>
      </c>
      <c r="D44" s="6" t="n">
        <v>-88.669251</v>
      </c>
      <c r="E44" s="6" t="n">
        <v>0</v>
      </c>
      <c r="F44" s="6" t="n">
        <v>0</v>
      </c>
      <c r="G44" s="6" t="n">
        <v>0</v>
      </c>
      <c r="H44" s="6" t="n">
        <v>0</v>
      </c>
      <c r="I44" s="6" t="n">
        <v>0</v>
      </c>
      <c r="J44" s="11" t="n">
        <v>6604.4</v>
      </c>
      <c r="K44" s="6" t="n">
        <v>0</v>
      </c>
      <c r="L44" s="6" t="n">
        <v>0</v>
      </c>
      <c r="M44" s="6" t="n">
        <v>0</v>
      </c>
      <c r="N44" s="6" t="n">
        <v>0</v>
      </c>
      <c r="O44" s="6" t="n">
        <v>0</v>
      </c>
      <c r="P44" s="11" t="n">
        <v>6604.4</v>
      </c>
      <c r="Q44" s="11" t="n">
        <v>6604.4</v>
      </c>
    </row>
    <row r="45" ht="27.6" customHeight="1" s="22">
      <c r="A45" s="4" t="inlineStr">
        <is>
          <t>55079</t>
        </is>
      </c>
      <c r="B45" s="4" t="inlineStr">
        <is>
          <t>Milwaukee County</t>
        </is>
      </c>
      <c r="C45" s="9" t="n">
        <v>42.912643</v>
      </c>
      <c r="D45" s="4" t="n">
        <v>-87.862312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0</v>
      </c>
      <c r="J45" s="9" t="n">
        <v>238.8</v>
      </c>
      <c r="K45" s="9" t="n">
        <v>268.9</v>
      </c>
      <c r="L45" s="4" t="n">
        <v>0</v>
      </c>
      <c r="M45" s="4" t="n">
        <v>0</v>
      </c>
      <c r="N45" s="4" t="n">
        <v>0</v>
      </c>
      <c r="O45" s="4" t="n">
        <v>0</v>
      </c>
      <c r="P45" s="9" t="n">
        <v>507.7</v>
      </c>
      <c r="Q45" s="9" t="n">
        <v>507.7</v>
      </c>
    </row>
    <row r="46" ht="27.6" customHeight="1" s="22">
      <c r="A46" s="6" t="inlineStr">
        <is>
          <t>55081</t>
        </is>
      </c>
      <c r="B46" s="6" t="inlineStr">
        <is>
          <t>Monroe County</t>
        </is>
      </c>
      <c r="C46" s="11" t="n">
        <v>43.945175</v>
      </c>
      <c r="D46" s="6" t="n">
        <v>-90.619969</v>
      </c>
      <c r="E46" s="11" t="n">
        <v>5780</v>
      </c>
      <c r="F46" s="11" t="n">
        <v>44796</v>
      </c>
      <c r="G46" s="6" t="n">
        <v>0</v>
      </c>
      <c r="H46" s="11" t="n">
        <v>1506</v>
      </c>
      <c r="I46" s="11" t="n">
        <v>656</v>
      </c>
      <c r="J46" s="11" t="n">
        <v>15312.5</v>
      </c>
      <c r="K46" s="11" t="n">
        <v>31411.3</v>
      </c>
      <c r="L46" s="11" t="n">
        <v>298.41</v>
      </c>
      <c r="M46" s="11" t="n">
        <v>6580.33</v>
      </c>
      <c r="N46" s="11" t="n">
        <v>5780</v>
      </c>
      <c r="O46" s="11" t="n">
        <v>46958</v>
      </c>
      <c r="P46" s="11" t="n">
        <v>53602.54000000001</v>
      </c>
      <c r="Q46" s="11" t="n">
        <v>106340.54</v>
      </c>
    </row>
    <row r="47" ht="27.6" customHeight="1" s="22">
      <c r="A47" s="4" t="inlineStr">
        <is>
          <t>55083</t>
        </is>
      </c>
      <c r="B47" s="4" t="inlineStr">
        <is>
          <t>Oconto County</t>
        </is>
      </c>
      <c r="C47" s="9" t="n">
        <v>44.996575</v>
      </c>
      <c r="D47" s="4" t="n">
        <v>-88.20651599999999</v>
      </c>
      <c r="E47" s="9" t="n">
        <v>27835</v>
      </c>
      <c r="F47" s="9" t="n">
        <v>214187</v>
      </c>
      <c r="G47" s="4" t="n">
        <v>0</v>
      </c>
      <c r="H47" s="9" t="n">
        <v>42803</v>
      </c>
      <c r="I47" s="4" t="n">
        <v>0</v>
      </c>
      <c r="J47" s="9" t="n">
        <v>26726.3</v>
      </c>
      <c r="K47" s="9" t="n">
        <v>11413.9</v>
      </c>
      <c r="L47" s="4" t="n">
        <v>0</v>
      </c>
      <c r="M47" s="4" t="n">
        <v>0</v>
      </c>
      <c r="N47" s="9" t="n">
        <v>27835</v>
      </c>
      <c r="O47" s="9" t="n">
        <v>256990</v>
      </c>
      <c r="P47" s="9" t="n">
        <v>38140.2</v>
      </c>
      <c r="Q47" s="9" t="n">
        <v>322965.2</v>
      </c>
    </row>
    <row r="48" ht="27.6" customHeight="1" s="22">
      <c r="A48" s="6" t="inlineStr">
        <is>
          <t>55085</t>
        </is>
      </c>
      <c r="B48" s="6" t="inlineStr">
        <is>
          <t>Oneida County</t>
        </is>
      </c>
      <c r="C48" s="11" t="n">
        <v>45.716176</v>
      </c>
      <c r="D48" s="6" t="n">
        <v>-89.534533</v>
      </c>
      <c r="E48" s="6" t="n">
        <v>0</v>
      </c>
      <c r="F48" s="11" t="n">
        <v>17249</v>
      </c>
      <c r="G48" s="6" t="n">
        <v>0</v>
      </c>
      <c r="H48" s="6" t="n">
        <v>0</v>
      </c>
      <c r="I48" s="6" t="n">
        <v>0</v>
      </c>
      <c r="J48" s="11" t="n">
        <v>17421.7</v>
      </c>
      <c r="K48" s="11" t="n">
        <v>17262.4</v>
      </c>
      <c r="L48" s="11" t="n">
        <v>36.46</v>
      </c>
      <c r="M48" s="11" t="n">
        <v>7370.98</v>
      </c>
      <c r="N48" s="6" t="n">
        <v>0</v>
      </c>
      <c r="O48" s="11" t="n">
        <v>17249</v>
      </c>
      <c r="P48" s="11" t="n">
        <v>42091.54000000001</v>
      </c>
      <c r="Q48" s="11" t="n">
        <v>59340.53999999999</v>
      </c>
    </row>
    <row r="49" ht="27.6" customHeight="1" s="22">
      <c r="A49" s="4" t="inlineStr">
        <is>
          <t>55087</t>
        </is>
      </c>
      <c r="B49" s="4" t="inlineStr">
        <is>
          <t>Outagamie County</t>
        </is>
      </c>
      <c r="C49" s="9" t="n">
        <v>44.418226</v>
      </c>
      <c r="D49" s="4" t="n">
        <v>-88.46498800000001</v>
      </c>
      <c r="E49" s="9" t="n">
        <v>82116</v>
      </c>
      <c r="F49" s="9" t="n">
        <v>13012</v>
      </c>
      <c r="G49" s="4" t="n">
        <v>0</v>
      </c>
      <c r="H49" s="9" t="n">
        <v>2959</v>
      </c>
      <c r="I49" s="4" t="n">
        <v>0</v>
      </c>
      <c r="J49" s="9" t="n">
        <v>3283.1</v>
      </c>
      <c r="K49" s="9" t="n">
        <v>2951.7</v>
      </c>
      <c r="L49" s="4" t="n">
        <v>0</v>
      </c>
      <c r="M49" s="9" t="n">
        <v>845.61</v>
      </c>
      <c r="N49" s="9" t="n">
        <v>82116</v>
      </c>
      <c r="O49" s="9" t="n">
        <v>15971</v>
      </c>
      <c r="P49" s="9" t="n">
        <v>7080.409999999999</v>
      </c>
      <c r="Q49" s="9" t="n">
        <v>105167.41</v>
      </c>
    </row>
    <row r="50" ht="27.6" customHeight="1" s="22">
      <c r="A50" s="6" t="inlineStr">
        <is>
          <t>55089</t>
        </is>
      </c>
      <c r="B50" s="6" t="inlineStr">
        <is>
          <t>Ozaukee County</t>
        </is>
      </c>
      <c r="C50" s="11" t="n">
        <v>43.501807</v>
      </c>
      <c r="D50" s="6" t="n">
        <v>-87.847551</v>
      </c>
      <c r="E50" s="11" t="n">
        <v>61117</v>
      </c>
      <c r="F50" s="11" t="n">
        <v>1043</v>
      </c>
      <c r="G50" s="6" t="n">
        <v>0</v>
      </c>
      <c r="H50" s="11" t="n">
        <v>300</v>
      </c>
      <c r="I50" s="6" t="n">
        <v>0</v>
      </c>
      <c r="J50" s="11" t="n">
        <v>324.5000000000001</v>
      </c>
      <c r="K50" s="11" t="n">
        <v>358.6</v>
      </c>
      <c r="L50" s="6" t="n">
        <v>0</v>
      </c>
      <c r="M50" s="6" t="n">
        <v>0</v>
      </c>
      <c r="N50" s="11" t="n">
        <v>61117</v>
      </c>
      <c r="O50" s="11" t="n">
        <v>1343</v>
      </c>
      <c r="P50" s="11" t="n">
        <v>683.1000000000001</v>
      </c>
      <c r="Q50" s="11" t="n">
        <v>63143.1</v>
      </c>
    </row>
    <row r="51" ht="27.6" customHeight="1" s="22">
      <c r="A51" s="4" t="inlineStr">
        <is>
          <t>55091</t>
        </is>
      </c>
      <c r="B51" s="4" t="inlineStr">
        <is>
          <t>Pepin County</t>
        </is>
      </c>
      <c r="C51" s="9" t="n">
        <v>44.627436</v>
      </c>
      <c r="D51" s="4" t="n">
        <v>-91.83489</v>
      </c>
      <c r="E51" s="9" t="n">
        <v>56777</v>
      </c>
      <c r="F51" s="9" t="n">
        <v>703</v>
      </c>
      <c r="G51" s="4" t="n">
        <v>0</v>
      </c>
      <c r="H51" s="9" t="n">
        <v>203</v>
      </c>
      <c r="I51" s="4" t="n">
        <v>0</v>
      </c>
      <c r="J51" s="9" t="n">
        <v>880.7</v>
      </c>
      <c r="K51" s="9" t="n">
        <v>1049.1</v>
      </c>
      <c r="L51" s="4" t="n">
        <v>0</v>
      </c>
      <c r="M51" s="9" t="n">
        <v>2110.86</v>
      </c>
      <c r="N51" s="9" t="n">
        <v>56777</v>
      </c>
      <c r="O51" s="9" t="n">
        <v>906</v>
      </c>
      <c r="P51" s="9" t="n">
        <v>4040.66</v>
      </c>
      <c r="Q51" s="9" t="n">
        <v>61723.66</v>
      </c>
    </row>
    <row r="52" ht="27.6" customHeight="1" s="22">
      <c r="A52" s="6" t="inlineStr">
        <is>
          <t>55093</t>
        </is>
      </c>
      <c r="B52" s="6" t="inlineStr">
        <is>
          <t>Pierce County</t>
        </is>
      </c>
      <c r="C52" s="11" t="n">
        <v>44.725336</v>
      </c>
      <c r="D52" s="6" t="n">
        <v>-92.42627899999999</v>
      </c>
      <c r="E52" s="11" t="n">
        <v>153138</v>
      </c>
      <c r="F52" s="11" t="n">
        <v>7153</v>
      </c>
      <c r="G52" s="6" t="n">
        <v>0</v>
      </c>
      <c r="H52" s="11" t="n">
        <v>789</v>
      </c>
      <c r="I52" s="6" t="n">
        <v>0</v>
      </c>
      <c r="J52" s="11" t="n">
        <v>1945.5</v>
      </c>
      <c r="K52" s="11" t="n">
        <v>2402</v>
      </c>
      <c r="L52" s="6" t="n">
        <v>0</v>
      </c>
      <c r="M52" s="6" t="n">
        <v>0</v>
      </c>
      <c r="N52" s="11" t="n">
        <v>153138</v>
      </c>
      <c r="O52" s="11" t="n">
        <v>7942</v>
      </c>
      <c r="P52" s="11" t="n">
        <v>4347.5</v>
      </c>
      <c r="Q52" s="11" t="n">
        <v>165427.5</v>
      </c>
    </row>
    <row r="53" ht="27.6" customHeight="1" s="22">
      <c r="A53" s="4" t="inlineStr">
        <is>
          <t>55095</t>
        </is>
      </c>
      <c r="B53" s="4" t="inlineStr">
        <is>
          <t>Polk County</t>
        </is>
      </c>
      <c r="C53" s="9" t="n">
        <v>45.462041</v>
      </c>
      <c r="D53" s="4" t="n">
        <v>-92.44706600000001</v>
      </c>
      <c r="E53" s="9" t="n">
        <v>111709</v>
      </c>
      <c r="F53" s="9" t="n">
        <v>63697</v>
      </c>
      <c r="G53" s="4" t="n">
        <v>0</v>
      </c>
      <c r="H53" s="9" t="n">
        <v>824</v>
      </c>
      <c r="I53" s="9" t="n">
        <v>399</v>
      </c>
      <c r="J53" s="9" t="n">
        <v>11141.7</v>
      </c>
      <c r="K53" s="9" t="n">
        <v>8788.900000000001</v>
      </c>
      <c r="L53" s="4" t="n">
        <v>0</v>
      </c>
      <c r="M53" s="9" t="n">
        <v>5846.62</v>
      </c>
      <c r="N53" s="9" t="n">
        <v>111709</v>
      </c>
      <c r="O53" s="9" t="n">
        <v>64920</v>
      </c>
      <c r="P53" s="9" t="n">
        <v>25777.22</v>
      </c>
      <c r="Q53" s="9" t="n">
        <v>202406.22</v>
      </c>
    </row>
    <row r="54" ht="27.6" customHeight="1" s="22">
      <c r="A54" s="6" t="inlineStr">
        <is>
          <t>55097</t>
        </is>
      </c>
      <c r="B54" s="6" t="inlineStr">
        <is>
          <t>Portage County</t>
        </is>
      </c>
      <c r="C54" s="11" t="n">
        <v>44.476246</v>
      </c>
      <c r="D54" s="6" t="n">
        <v>-89.49807</v>
      </c>
      <c r="E54" s="11" t="n">
        <v>73238</v>
      </c>
      <c r="F54" s="11" t="n">
        <v>24464</v>
      </c>
      <c r="G54" s="6" t="n">
        <v>0</v>
      </c>
      <c r="H54" s="11" t="n">
        <v>4379</v>
      </c>
      <c r="I54" s="11" t="n">
        <v>127</v>
      </c>
      <c r="J54" s="11" t="n">
        <v>4523</v>
      </c>
      <c r="K54" s="6" t="n">
        <v>0</v>
      </c>
      <c r="L54" s="6" t="n">
        <v>0</v>
      </c>
      <c r="M54" s="11" t="n">
        <v>1336.83</v>
      </c>
      <c r="N54" s="11" t="n">
        <v>73238</v>
      </c>
      <c r="O54" s="11" t="n">
        <v>28970</v>
      </c>
      <c r="P54" s="11" t="n">
        <v>5859.83</v>
      </c>
      <c r="Q54" s="11" t="n">
        <v>108067.83</v>
      </c>
    </row>
    <row r="55" ht="27.6" customHeight="1" s="22">
      <c r="A55" s="4" t="inlineStr">
        <is>
          <t>55099</t>
        </is>
      </c>
      <c r="B55" s="4" t="inlineStr">
        <is>
          <t>Price County</t>
        </is>
      </c>
      <c r="C55" s="9" t="n">
        <v>45.679072</v>
      </c>
      <c r="D55" s="4" t="n">
        <v>-90.35965</v>
      </c>
      <c r="E55" s="9" t="n">
        <v>5291</v>
      </c>
      <c r="F55" s="9" t="n">
        <v>47277</v>
      </c>
      <c r="G55" s="4" t="n">
        <v>0</v>
      </c>
      <c r="H55" s="9" t="n">
        <v>172</v>
      </c>
      <c r="I55" s="9" t="n">
        <v>1646</v>
      </c>
      <c r="J55" s="9" t="n">
        <v>37634.4</v>
      </c>
      <c r="K55" s="9" t="n">
        <v>36918.9</v>
      </c>
      <c r="L55" s="4" t="n">
        <v>0</v>
      </c>
      <c r="M55" s="4" t="n">
        <v>0</v>
      </c>
      <c r="N55" s="9" t="n">
        <v>5291</v>
      </c>
      <c r="O55" s="9" t="n">
        <v>49095</v>
      </c>
      <c r="P55" s="9" t="n">
        <v>74553.3</v>
      </c>
      <c r="Q55" s="9" t="n">
        <v>128939.3</v>
      </c>
    </row>
    <row r="56" ht="27.6" customHeight="1" s="22">
      <c r="A56" s="6" t="inlineStr">
        <is>
          <t>55101</t>
        </is>
      </c>
      <c r="B56" s="6" t="inlineStr">
        <is>
          <t>Racine County</t>
        </is>
      </c>
      <c r="C56" s="11" t="n">
        <v>42.780392</v>
      </c>
      <c r="D56" s="6" t="n">
        <v>-87.77159899999999</v>
      </c>
      <c r="E56" s="11" t="n">
        <v>99899</v>
      </c>
      <c r="F56" s="11" t="n">
        <v>510</v>
      </c>
      <c r="G56" s="6" t="n">
        <v>0</v>
      </c>
      <c r="H56" s="11" t="n">
        <v>174</v>
      </c>
      <c r="I56" s="6" t="n">
        <v>0</v>
      </c>
      <c r="J56" s="11" t="n">
        <v>670.6</v>
      </c>
      <c r="K56" s="11" t="n">
        <v>753.1</v>
      </c>
      <c r="L56" s="6" t="n">
        <v>0</v>
      </c>
      <c r="M56" s="11" t="n">
        <v>734.23</v>
      </c>
      <c r="N56" s="11" t="n">
        <v>99899</v>
      </c>
      <c r="O56" s="11" t="n">
        <v>684</v>
      </c>
      <c r="P56" s="11" t="n">
        <v>2157.93</v>
      </c>
      <c r="Q56" s="11" t="n">
        <v>102740.93</v>
      </c>
    </row>
    <row r="57" ht="27.6" customHeight="1" s="22">
      <c r="A57" s="4" t="inlineStr">
        <is>
          <t>55103</t>
        </is>
      </c>
      <c r="B57" s="4" t="inlineStr">
        <is>
          <t>Richland County</t>
        </is>
      </c>
      <c r="C57" s="9" t="n">
        <v>43.376199</v>
      </c>
      <c r="D57" s="4" t="n">
        <v>-90.435693</v>
      </c>
      <c r="E57" s="9" t="n">
        <v>22735</v>
      </c>
      <c r="F57" s="9" t="n">
        <v>22924</v>
      </c>
      <c r="G57" s="4" t="n">
        <v>0</v>
      </c>
      <c r="H57" s="9" t="n">
        <v>989</v>
      </c>
      <c r="I57" s="9" t="n">
        <v>398</v>
      </c>
      <c r="J57" s="9" t="n">
        <v>1839.4</v>
      </c>
      <c r="K57" s="9" t="n">
        <v>11180.5</v>
      </c>
      <c r="L57" s="4" t="n">
        <v>0</v>
      </c>
      <c r="M57" s="9" t="n">
        <v>937.67</v>
      </c>
      <c r="N57" s="9" t="n">
        <v>22735</v>
      </c>
      <c r="O57" s="9" t="n">
        <v>24311</v>
      </c>
      <c r="P57" s="9" t="n">
        <v>13957.57</v>
      </c>
      <c r="Q57" s="9" t="n">
        <v>61003.57</v>
      </c>
    </row>
    <row r="58" ht="27.6" customHeight="1" s="22">
      <c r="A58" s="6" t="inlineStr">
        <is>
          <t>55105</t>
        </is>
      </c>
      <c r="B58" s="6" t="inlineStr">
        <is>
          <t>Rock County</t>
        </is>
      </c>
      <c r="C58" s="11" t="n">
        <v>42.66988</v>
      </c>
      <c r="D58" s="6" t="n">
        <v>-89.075284</v>
      </c>
      <c r="E58" s="11" t="n">
        <v>412673</v>
      </c>
      <c r="F58" s="11" t="n">
        <v>24866</v>
      </c>
      <c r="G58" s="6" t="n">
        <v>0</v>
      </c>
      <c r="H58" s="11" t="n">
        <v>5535</v>
      </c>
      <c r="I58" s="6" t="n">
        <v>0</v>
      </c>
      <c r="J58" s="11" t="n">
        <v>1352.8</v>
      </c>
      <c r="K58" s="11" t="n">
        <v>1262.1</v>
      </c>
      <c r="L58" s="6" t="n">
        <v>0</v>
      </c>
      <c r="M58" s="6" t="n">
        <v>0</v>
      </c>
      <c r="N58" s="11" t="n">
        <v>412673</v>
      </c>
      <c r="O58" s="11" t="n">
        <v>30401</v>
      </c>
      <c r="P58" s="11" t="n">
        <v>2614.9</v>
      </c>
      <c r="Q58" s="11" t="n">
        <v>445688.9</v>
      </c>
    </row>
    <row r="59" ht="27.6" customHeight="1" s="22">
      <c r="A59" s="4" t="inlineStr">
        <is>
          <t>55107</t>
        </is>
      </c>
      <c r="B59" s="4" t="inlineStr">
        <is>
          <t>Rusk County</t>
        </is>
      </c>
      <c r="C59" s="9" t="n">
        <v>45.472734</v>
      </c>
      <c r="D59" s="4" t="n">
        <v>-91.136745</v>
      </c>
      <c r="E59" s="9" t="n">
        <v>11197</v>
      </c>
      <c r="F59" s="9" t="n">
        <v>152819</v>
      </c>
      <c r="G59" s="9" t="n">
        <v>61583</v>
      </c>
      <c r="H59" s="4" t="n">
        <v>0</v>
      </c>
      <c r="I59" s="4" t="n">
        <v>0</v>
      </c>
      <c r="J59" s="9" t="n">
        <v>11449.6</v>
      </c>
      <c r="K59" s="9" t="n">
        <v>9117.5</v>
      </c>
      <c r="L59" s="4" t="n">
        <v>0</v>
      </c>
      <c r="M59" s="4" t="n">
        <v>0</v>
      </c>
      <c r="N59" s="9" t="n">
        <v>11197</v>
      </c>
      <c r="O59" s="9" t="n">
        <v>214402</v>
      </c>
      <c r="P59" s="9" t="n">
        <v>20567.1</v>
      </c>
      <c r="Q59" s="9" t="n">
        <v>246166.1</v>
      </c>
    </row>
    <row r="60" ht="27.6" customHeight="1" s="22">
      <c r="A60" s="6" t="inlineStr">
        <is>
          <t>55109</t>
        </is>
      </c>
      <c r="B60" s="6" t="inlineStr">
        <is>
          <t>St. Croix County</t>
        </is>
      </c>
      <c r="C60" s="11" t="n">
        <v>45.028959</v>
      </c>
      <c r="D60" s="6" t="n">
        <v>-92.447284</v>
      </c>
      <c r="E60" s="11" t="n">
        <v>284592</v>
      </c>
      <c r="F60" s="11" t="n">
        <v>8693</v>
      </c>
      <c r="G60" s="6" t="n">
        <v>0</v>
      </c>
      <c r="H60" s="11" t="n">
        <v>950</v>
      </c>
      <c r="I60" s="6" t="n">
        <v>0</v>
      </c>
      <c r="J60" s="11" t="n">
        <v>2535.6</v>
      </c>
      <c r="K60" s="11" t="n">
        <v>3621</v>
      </c>
      <c r="L60" s="6" t="n">
        <v>0</v>
      </c>
      <c r="M60" s="11" t="n">
        <v>4428.74</v>
      </c>
      <c r="N60" s="11" t="n">
        <v>284592</v>
      </c>
      <c r="O60" s="11" t="n">
        <v>9643</v>
      </c>
      <c r="P60" s="11" t="n">
        <v>10585.34</v>
      </c>
      <c r="Q60" s="11" t="n">
        <v>304820.34</v>
      </c>
    </row>
    <row r="61" ht="27.6" customHeight="1" s="22">
      <c r="A61" s="4" t="inlineStr">
        <is>
          <t>55111</t>
        </is>
      </c>
      <c r="B61" s="4" t="inlineStr">
        <is>
          <t>Sauk County</t>
        </is>
      </c>
      <c r="C61" s="9" t="n">
        <v>43.428001</v>
      </c>
      <c r="D61" s="4" t="n">
        <v>-89.943318</v>
      </c>
      <c r="E61" s="9" t="n">
        <v>81477</v>
      </c>
      <c r="F61" s="9" t="n">
        <v>5189</v>
      </c>
      <c r="G61" s="4" t="n">
        <v>0</v>
      </c>
      <c r="H61" s="9" t="n">
        <v>1308</v>
      </c>
      <c r="I61" s="4" t="n">
        <v>0</v>
      </c>
      <c r="J61" s="9" t="n">
        <v>2385.5</v>
      </c>
      <c r="K61" s="9" t="n">
        <v>11819.4</v>
      </c>
      <c r="L61" s="4" t="n">
        <v>0</v>
      </c>
      <c r="M61" s="9" t="n">
        <v>716.33</v>
      </c>
      <c r="N61" s="9" t="n">
        <v>81477</v>
      </c>
      <c r="O61" s="9" t="n">
        <v>6497</v>
      </c>
      <c r="P61" s="9" t="n">
        <v>14921.23</v>
      </c>
      <c r="Q61" s="9" t="n">
        <v>102895.23</v>
      </c>
    </row>
    <row r="62" ht="27.6" customHeight="1" s="22">
      <c r="A62" s="6" t="inlineStr">
        <is>
          <t>55113</t>
        </is>
      </c>
      <c r="B62" s="6" t="inlineStr">
        <is>
          <t>Sawyer County</t>
        </is>
      </c>
      <c r="C62" s="11" t="n">
        <v>45.864999</v>
      </c>
      <c r="D62" s="6" t="n">
        <v>-91.147063</v>
      </c>
      <c r="E62" s="11" t="n">
        <v>6752</v>
      </c>
      <c r="F62" s="11" t="n">
        <v>12518</v>
      </c>
      <c r="G62" s="6" t="n">
        <v>0</v>
      </c>
      <c r="H62" s="6" t="n">
        <v>0</v>
      </c>
      <c r="I62" s="6" t="n">
        <v>0</v>
      </c>
      <c r="J62" s="11" t="n">
        <v>32989.2</v>
      </c>
      <c r="K62" s="11" t="n">
        <v>29422.1</v>
      </c>
      <c r="L62" s="6" t="n">
        <v>0</v>
      </c>
      <c r="M62" s="11" t="n">
        <v>977.1199999999999</v>
      </c>
      <c r="N62" s="11" t="n">
        <v>6752</v>
      </c>
      <c r="O62" s="11" t="n">
        <v>12518</v>
      </c>
      <c r="P62" s="11" t="n">
        <v>63388.42000000001</v>
      </c>
      <c r="Q62" s="11" t="n">
        <v>82658.42</v>
      </c>
    </row>
    <row r="63" ht="27.6" customHeight="1" s="22">
      <c r="A63" s="4" t="inlineStr">
        <is>
          <t>55115</t>
        </is>
      </c>
      <c r="B63" s="4" t="inlineStr">
        <is>
          <t>Shawano County</t>
        </is>
      </c>
      <c r="C63" s="9" t="n">
        <v>44.789641</v>
      </c>
      <c r="D63" s="4" t="n">
        <v>-88.755813</v>
      </c>
      <c r="E63" s="9" t="n">
        <v>78001</v>
      </c>
      <c r="F63" s="9" t="n">
        <v>139529</v>
      </c>
      <c r="G63" s="4" t="n">
        <v>0</v>
      </c>
      <c r="H63" s="9" t="n">
        <v>4074</v>
      </c>
      <c r="I63" s="4" t="n">
        <v>0</v>
      </c>
      <c r="J63" s="9" t="n">
        <v>7586.200000000001</v>
      </c>
      <c r="K63" s="4" t="n">
        <v>0</v>
      </c>
      <c r="L63" s="4" t="n">
        <v>0</v>
      </c>
      <c r="M63" s="4" t="n">
        <v>0</v>
      </c>
      <c r="N63" s="9" t="n">
        <v>78001</v>
      </c>
      <c r="O63" s="9" t="n">
        <v>143603</v>
      </c>
      <c r="P63" s="9" t="n">
        <v>7586.200000000001</v>
      </c>
      <c r="Q63" s="9" t="n">
        <v>229190.2</v>
      </c>
    </row>
    <row r="64" ht="27.6" customHeight="1" s="22">
      <c r="A64" s="6" t="inlineStr">
        <is>
          <t>55117</t>
        </is>
      </c>
      <c r="B64" s="6" t="inlineStr">
        <is>
          <t>Sheboygan County</t>
        </is>
      </c>
      <c r="C64" s="11" t="n">
        <v>43.741232</v>
      </c>
      <c r="D64" s="6" t="n">
        <v>-87.731516</v>
      </c>
      <c r="E64" s="11" t="n">
        <v>171722</v>
      </c>
      <c r="F64" s="11" t="n">
        <v>23012</v>
      </c>
      <c r="G64" s="6" t="n">
        <v>0</v>
      </c>
      <c r="H64" s="11" t="n">
        <v>4566</v>
      </c>
      <c r="I64" s="11" t="n">
        <v>990</v>
      </c>
      <c r="J64" s="11" t="n">
        <v>7595.299999999999</v>
      </c>
      <c r="K64" s="11" t="n">
        <v>6579.1</v>
      </c>
      <c r="L64" s="6" t="n">
        <v>0</v>
      </c>
      <c r="M64" s="6" t="n">
        <v>0</v>
      </c>
      <c r="N64" s="11" t="n">
        <v>171722</v>
      </c>
      <c r="O64" s="11" t="n">
        <v>28568</v>
      </c>
      <c r="P64" s="11" t="n">
        <v>14174.4</v>
      </c>
      <c r="Q64" s="11" t="n">
        <v>214464.4</v>
      </c>
    </row>
    <row r="65" ht="27.6" customHeight="1" s="22">
      <c r="A65" s="4" t="inlineStr">
        <is>
          <t>55119</t>
        </is>
      </c>
      <c r="B65" s="4" t="inlineStr">
        <is>
          <t>Taylor County</t>
        </is>
      </c>
      <c r="C65" s="9" t="n">
        <v>45.211656</v>
      </c>
      <c r="D65" s="4" t="n">
        <v>-90.504853</v>
      </c>
      <c r="E65" s="9" t="n">
        <v>19207</v>
      </c>
      <c r="F65" s="9" t="n">
        <v>80415</v>
      </c>
      <c r="G65" s="4" t="n">
        <v>0</v>
      </c>
      <c r="H65" s="4" t="n">
        <v>0</v>
      </c>
      <c r="I65" s="9" t="n">
        <v>5030</v>
      </c>
      <c r="J65" s="9" t="n">
        <v>35960.1</v>
      </c>
      <c r="K65" s="9" t="n">
        <v>28943</v>
      </c>
      <c r="L65" s="4" t="n">
        <v>0</v>
      </c>
      <c r="M65" s="9" t="n">
        <v>2055.42</v>
      </c>
      <c r="N65" s="9" t="n">
        <v>19207</v>
      </c>
      <c r="O65" s="9" t="n">
        <v>85445</v>
      </c>
      <c r="P65" s="9" t="n">
        <v>66958.52</v>
      </c>
      <c r="Q65" s="9" t="n">
        <v>171610.52</v>
      </c>
    </row>
    <row r="66" ht="27.6" customHeight="1" s="22">
      <c r="A66" s="6" t="inlineStr">
        <is>
          <t>55121</t>
        </is>
      </c>
      <c r="B66" s="6" t="inlineStr">
        <is>
          <t>Trempealeau County</t>
        </is>
      </c>
      <c r="C66" s="11" t="n">
        <v>44.30305</v>
      </c>
      <c r="D66" s="6" t="n">
        <v>-91.358867</v>
      </c>
      <c r="E66" s="11" t="n">
        <v>123238</v>
      </c>
      <c r="F66" s="11" t="n">
        <v>7614</v>
      </c>
      <c r="G66" s="6" t="n">
        <v>0</v>
      </c>
      <c r="H66" s="11" t="n">
        <v>1636</v>
      </c>
      <c r="I66" s="11" t="n">
        <v>727</v>
      </c>
      <c r="J66" s="11" t="n">
        <v>3177.5</v>
      </c>
      <c r="K66" s="11" t="n">
        <v>3637.6</v>
      </c>
      <c r="L66" s="6" t="n">
        <v>0</v>
      </c>
      <c r="M66" s="11" t="n">
        <v>751.5599999999999</v>
      </c>
      <c r="N66" s="11" t="n">
        <v>123238</v>
      </c>
      <c r="O66" s="11" t="n">
        <v>9977</v>
      </c>
      <c r="P66" s="11" t="n">
        <v>7566.66</v>
      </c>
      <c r="Q66" s="11" t="n">
        <v>140781.66</v>
      </c>
    </row>
    <row r="67" ht="27.6" customHeight="1" s="22">
      <c r="A67" s="4" t="inlineStr">
        <is>
          <t>55123</t>
        </is>
      </c>
      <c r="B67" s="4" t="inlineStr">
        <is>
          <t>Vernon County</t>
        </is>
      </c>
      <c r="C67" s="9" t="n">
        <v>43.599366</v>
      </c>
      <c r="D67" s="4" t="n">
        <v>-90.821983</v>
      </c>
      <c r="E67" s="9" t="n">
        <v>8708</v>
      </c>
      <c r="F67" s="9" t="n">
        <v>17276</v>
      </c>
      <c r="G67" s="4" t="n">
        <v>0</v>
      </c>
      <c r="H67" s="9" t="n">
        <v>3826</v>
      </c>
      <c r="I67" s="9" t="n">
        <v>1657</v>
      </c>
      <c r="J67" s="9" t="n">
        <v>2318.4</v>
      </c>
      <c r="K67" s="9" t="n">
        <v>13908.5</v>
      </c>
      <c r="L67" s="9" t="n">
        <v>1221.15</v>
      </c>
      <c r="M67" s="4" t="n">
        <v>0</v>
      </c>
      <c r="N67" s="9" t="n">
        <v>8708</v>
      </c>
      <c r="O67" s="9" t="n">
        <v>22759</v>
      </c>
      <c r="P67" s="9" t="n">
        <v>17448.05</v>
      </c>
      <c r="Q67" s="9" t="n">
        <v>48915.05</v>
      </c>
    </row>
    <row r="68" ht="27.6" customHeight="1" s="22">
      <c r="A68" s="6" t="inlineStr">
        <is>
          <t>55125</t>
        </is>
      </c>
      <c r="B68" s="6" t="inlineStr">
        <is>
          <t>Vilas County</t>
        </is>
      </c>
      <c r="C68" s="11" t="n">
        <v>46.049848</v>
      </c>
      <c r="D68" s="6" t="n">
        <v>-89.501254</v>
      </c>
      <c r="E68" s="6" t="n">
        <v>0</v>
      </c>
      <c r="F68" s="11" t="n">
        <v>316</v>
      </c>
      <c r="G68" s="6" t="n">
        <v>0</v>
      </c>
      <c r="H68" s="6" t="n">
        <v>0</v>
      </c>
      <c r="I68" s="6" t="n">
        <v>0</v>
      </c>
      <c r="J68" s="11" t="n">
        <v>20319.1</v>
      </c>
      <c r="K68" s="11" t="n">
        <v>26902.5</v>
      </c>
      <c r="L68" s="6" t="n">
        <v>0</v>
      </c>
      <c r="M68" s="11" t="n">
        <v>141.94</v>
      </c>
      <c r="N68" s="6" t="n">
        <v>0</v>
      </c>
      <c r="O68" s="11" t="n">
        <v>316</v>
      </c>
      <c r="P68" s="11" t="n">
        <v>47363.54000000001</v>
      </c>
      <c r="Q68" s="11" t="n">
        <v>47679.54000000001</v>
      </c>
    </row>
    <row r="69" ht="27.6" customHeight="1" s="22">
      <c r="A69" s="4" t="inlineStr">
        <is>
          <t>55127</t>
        </is>
      </c>
      <c r="B69" s="4" t="inlineStr">
        <is>
          <t>Walworth County</t>
        </is>
      </c>
      <c r="C69" s="9" t="n">
        <v>42.66811</v>
      </c>
      <c r="D69" s="4" t="n">
        <v>-88.541731</v>
      </c>
      <c r="E69" s="9" t="n">
        <v>186689</v>
      </c>
      <c r="F69" s="9" t="n">
        <v>3066</v>
      </c>
      <c r="G69" s="4" t="n">
        <v>0</v>
      </c>
      <c r="H69" s="9" t="n">
        <v>1066</v>
      </c>
      <c r="I69" s="4" t="n">
        <v>0</v>
      </c>
      <c r="J69" s="9" t="n">
        <v>1319.3</v>
      </c>
      <c r="K69" s="9" t="n">
        <v>1452.3</v>
      </c>
      <c r="L69" s="4" t="n">
        <v>0</v>
      </c>
      <c r="M69" s="4" t="n">
        <v>0</v>
      </c>
      <c r="N69" s="9" t="n">
        <v>186689</v>
      </c>
      <c r="O69" s="9" t="n">
        <v>4132</v>
      </c>
      <c r="P69" s="9" t="n">
        <v>2771.6</v>
      </c>
      <c r="Q69" s="9" t="n">
        <v>193592.6</v>
      </c>
    </row>
    <row r="70" ht="27.6" customHeight="1" s="22">
      <c r="A70" s="6" t="inlineStr">
        <is>
          <t>55129</t>
        </is>
      </c>
      <c r="B70" s="6" t="inlineStr">
        <is>
          <t>Washburn County</t>
        </is>
      </c>
      <c r="C70" s="11" t="n">
        <v>45.892489</v>
      </c>
      <c r="D70" s="6" t="n">
        <v>-91.79642200000001</v>
      </c>
      <c r="E70" s="11" t="n">
        <v>14425</v>
      </c>
      <c r="F70" s="11" t="n">
        <v>22951</v>
      </c>
      <c r="G70" s="6" t="n">
        <v>0</v>
      </c>
      <c r="H70" s="6" t="n">
        <v>0</v>
      </c>
      <c r="I70" s="6" t="n">
        <v>0</v>
      </c>
      <c r="J70" s="11" t="n">
        <v>12872.5</v>
      </c>
      <c r="K70" s="11" t="n">
        <v>10445.3</v>
      </c>
      <c r="L70" s="11" t="n">
        <v>34.1</v>
      </c>
      <c r="M70" s="6" t="n">
        <v>0</v>
      </c>
      <c r="N70" s="11" t="n">
        <v>14425</v>
      </c>
      <c r="O70" s="11" t="n">
        <v>22951</v>
      </c>
      <c r="P70" s="11" t="n">
        <v>23351.89999999999</v>
      </c>
      <c r="Q70" s="11" t="n">
        <v>60727.9</v>
      </c>
    </row>
    <row r="71" ht="27.6" customHeight="1" s="22">
      <c r="A71" s="4" t="inlineStr">
        <is>
          <t>55131</t>
        </is>
      </c>
      <c r="B71" s="4" t="inlineStr">
        <is>
          <t>Washington County</t>
        </is>
      </c>
      <c r="C71" s="9" t="n">
        <v>43.391156</v>
      </c>
      <c r="D71" s="4" t="n">
        <v>-88.232917</v>
      </c>
      <c r="E71" s="9" t="n">
        <v>112741</v>
      </c>
      <c r="F71" s="9" t="n">
        <v>2153</v>
      </c>
      <c r="G71" s="4" t="n">
        <v>0</v>
      </c>
      <c r="H71" s="9" t="n">
        <v>766</v>
      </c>
      <c r="I71" s="4" t="n">
        <v>0</v>
      </c>
      <c r="J71" s="9" t="n">
        <v>912.1999999999999</v>
      </c>
      <c r="K71" s="9" t="n">
        <v>992.1</v>
      </c>
      <c r="L71" s="4" t="n">
        <v>0</v>
      </c>
      <c r="M71" s="4" t="n">
        <v>0</v>
      </c>
      <c r="N71" s="9" t="n">
        <v>112741</v>
      </c>
      <c r="O71" s="9" t="n">
        <v>2919</v>
      </c>
      <c r="P71" s="9" t="n">
        <v>1904.3</v>
      </c>
      <c r="Q71" s="9" t="n">
        <v>117564.3</v>
      </c>
    </row>
    <row r="72" ht="27.6" customHeight="1" s="22">
      <c r="A72" s="6" t="inlineStr">
        <is>
          <t>55133</t>
        </is>
      </c>
      <c r="B72" s="6" t="inlineStr">
        <is>
          <t>Waukesha County</t>
        </is>
      </c>
      <c r="C72" s="11" t="n">
        <v>43.018368</v>
      </c>
      <c r="D72" s="6" t="n">
        <v>-88.30423999999999</v>
      </c>
      <c r="E72" s="11" t="n">
        <v>49093</v>
      </c>
      <c r="F72" s="11" t="n">
        <v>1074</v>
      </c>
      <c r="G72" s="6" t="n">
        <v>0</v>
      </c>
      <c r="H72" s="11" t="n">
        <v>330</v>
      </c>
      <c r="I72" s="6" t="n">
        <v>0</v>
      </c>
      <c r="J72" s="11" t="n">
        <v>1352.8</v>
      </c>
      <c r="K72" s="11" t="n">
        <v>1476.2</v>
      </c>
      <c r="L72" s="6" t="n">
        <v>0</v>
      </c>
      <c r="M72" s="6" t="n">
        <v>0</v>
      </c>
      <c r="N72" s="11" t="n">
        <v>49093</v>
      </c>
      <c r="O72" s="11" t="n">
        <v>1404</v>
      </c>
      <c r="P72" s="11" t="n">
        <v>2829</v>
      </c>
      <c r="Q72" s="11" t="n">
        <v>53326</v>
      </c>
    </row>
    <row r="73" ht="27.6" customHeight="1" s="22">
      <c r="A73" s="4" t="inlineStr">
        <is>
          <t>55135</t>
        </is>
      </c>
      <c r="B73" s="4" t="inlineStr">
        <is>
          <t>Waupaca County</t>
        </is>
      </c>
      <c r="C73" s="9" t="n">
        <v>44.478004</v>
      </c>
      <c r="D73" s="4" t="n">
        <v>-88.967005</v>
      </c>
      <c r="E73" s="9" t="n">
        <v>171122</v>
      </c>
      <c r="F73" s="9" t="n">
        <v>28470</v>
      </c>
      <c r="G73" s="4" t="n">
        <v>0</v>
      </c>
      <c r="H73" s="9" t="n">
        <v>5901</v>
      </c>
      <c r="I73" s="4" t="n">
        <v>0</v>
      </c>
      <c r="J73" s="9" t="n">
        <v>3343.9</v>
      </c>
      <c r="K73" s="4" t="n">
        <v>0</v>
      </c>
      <c r="L73" s="9" t="n">
        <v>9.279999999999999</v>
      </c>
      <c r="M73" s="9" t="n">
        <v>2701.08</v>
      </c>
      <c r="N73" s="9" t="n">
        <v>171122</v>
      </c>
      <c r="O73" s="9" t="n">
        <v>34371</v>
      </c>
      <c r="P73" s="9" t="n">
        <v>6054.26</v>
      </c>
      <c r="Q73" s="9" t="n">
        <v>211547.26</v>
      </c>
    </row>
    <row r="74" ht="27.6" customHeight="1" s="22">
      <c r="A74" s="6" t="inlineStr">
        <is>
          <t>55137</t>
        </is>
      </c>
      <c r="B74" s="6" t="inlineStr">
        <is>
          <t>Waushara County</t>
        </is>
      </c>
      <c r="C74" s="11" t="n">
        <v>44.112823</v>
      </c>
      <c r="D74" s="6" t="n">
        <v>-89.239786</v>
      </c>
      <c r="E74" s="11" t="n">
        <v>136910</v>
      </c>
      <c r="F74" s="11" t="n">
        <v>5537</v>
      </c>
      <c r="G74" s="6" t="n">
        <v>0</v>
      </c>
      <c r="H74" s="11" t="n">
        <v>5500</v>
      </c>
      <c r="I74" s="6" t="n">
        <v>0</v>
      </c>
      <c r="J74" s="11" t="n">
        <v>4010.5</v>
      </c>
      <c r="K74" s="6" t="n">
        <v>0</v>
      </c>
      <c r="L74" s="6" t="n">
        <v>0</v>
      </c>
      <c r="M74" s="11" t="n">
        <v>6015.68</v>
      </c>
      <c r="N74" s="11" t="n">
        <v>136910</v>
      </c>
      <c r="O74" s="11" t="n">
        <v>11037</v>
      </c>
      <c r="P74" s="11" t="n">
        <v>10026.18</v>
      </c>
      <c r="Q74" s="11" t="n">
        <v>157973.18</v>
      </c>
    </row>
    <row r="75" ht="27.6" customHeight="1" s="22">
      <c r="A75" s="4" t="inlineStr">
        <is>
          <t>55139</t>
        </is>
      </c>
      <c r="B75" s="4" t="inlineStr">
        <is>
          <t>Winnebago County</t>
        </is>
      </c>
      <c r="C75" s="9" t="n">
        <v>44.085707</v>
      </c>
      <c r="D75" s="4" t="n">
        <v>-88.668149</v>
      </c>
      <c r="E75" s="9" t="n">
        <v>194942</v>
      </c>
      <c r="F75" s="9" t="n">
        <v>10999</v>
      </c>
      <c r="G75" s="4" t="n">
        <v>0</v>
      </c>
      <c r="H75" s="9" t="n">
        <v>2160</v>
      </c>
      <c r="I75" s="9" t="n">
        <v>409</v>
      </c>
      <c r="J75" s="9" t="n">
        <v>3744.8</v>
      </c>
      <c r="K75" s="9" t="n">
        <v>2143.8</v>
      </c>
      <c r="L75" s="4" t="n">
        <v>0</v>
      </c>
      <c r="M75" s="4" t="n">
        <v>0</v>
      </c>
      <c r="N75" s="9" t="n">
        <v>194942</v>
      </c>
      <c r="O75" s="9" t="n">
        <v>13568</v>
      </c>
      <c r="P75" s="9" t="n">
        <v>5888.6</v>
      </c>
      <c r="Q75" s="9" t="n">
        <v>214398.6</v>
      </c>
    </row>
    <row r="76" ht="27.6" customHeight="1" s="22">
      <c r="A76" s="6" t="inlineStr">
        <is>
          <t>55141</t>
        </is>
      </c>
      <c r="B76" s="6" t="inlineStr">
        <is>
          <t>Wood County</t>
        </is>
      </c>
      <c r="C76" s="11" t="n">
        <v>44.461413</v>
      </c>
      <c r="D76" s="6" t="n">
        <v>-90.038825</v>
      </c>
      <c r="E76" s="11" t="n">
        <v>95445</v>
      </c>
      <c r="F76" s="11" t="n">
        <v>33529</v>
      </c>
      <c r="G76" s="6" t="n">
        <v>0</v>
      </c>
      <c r="H76" s="11" t="n">
        <v>5949</v>
      </c>
      <c r="I76" s="11" t="n">
        <v>1533</v>
      </c>
      <c r="J76" s="11" t="n">
        <v>4658.799999999999</v>
      </c>
      <c r="K76" s="11" t="n">
        <v>46.6</v>
      </c>
      <c r="L76" s="11" t="n">
        <v>9125.299999999999</v>
      </c>
      <c r="M76" s="6" t="n">
        <v>0</v>
      </c>
      <c r="N76" s="11" t="n">
        <v>95445</v>
      </c>
      <c r="O76" s="11" t="n">
        <v>41011</v>
      </c>
      <c r="P76" s="11" t="n">
        <v>13830.7</v>
      </c>
      <c r="Q76" s="11" t="n">
        <v>150286.7</v>
      </c>
    </row>
  </sheetData>
  <mergeCells count="2">
    <mergeCell ref="A2:Q2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2026-06-20T05:50:55Z</dcterms:created>
  <dcterms:modified xmlns:dcterms="http://purl.org/dc/terms/" xmlns:xsi="http://www.w3.org/2001/XMLSchema-instance" xsi:type="dcterms:W3CDTF">2026-09-03T09:10:13Z</dcterms:modified>
  <cp:lastModifiedBy>yhy yhy</cp:lastModifiedBy>
</cp:coreProperties>
</file>